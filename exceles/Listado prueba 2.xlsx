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l rosario\Escritorio\correoscartera\exceles\"/>
    </mc:Choice>
  </mc:AlternateContent>
  <xr:revisionPtr revIDLastSave="0" documentId="8_{4BC4C4C1-A094-4BD5-891D-F00A15C7E9CA}" xr6:coauthVersionLast="47" xr6:coauthVersionMax="47" xr10:uidLastSave="{00000000-0000-0000-0000-000000000000}"/>
  <bookViews>
    <workbookView xWindow="-120" yWindow="-120" windowWidth="29040" windowHeight="15720" xr2:uid="{7E74AF07-B6F3-41BE-8F93-819240564679}"/>
  </bookViews>
  <sheets>
    <sheet name="LISTADO DE CLIENTES" sheetId="1" r:id="rId1"/>
    <sheet name="Hoja2" sheetId="2" r:id="rId2"/>
  </sheets>
  <externalReferences>
    <externalReference r:id="rId3"/>
  </externalReferences>
  <definedNames>
    <definedName name="_xlnm._FilterDatabase" localSheetId="1" hidden="1">Hoja2!$A$1:$C$1425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4" i="1"/>
  <c r="H913" i="1"/>
  <c r="H912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3" i="1"/>
  <c r="H892" i="1"/>
  <c r="H891" i="1"/>
  <c r="H865" i="1"/>
  <c r="H850" i="1"/>
  <c r="H849" i="1"/>
  <c r="H848" i="1"/>
  <c r="H846" i="1"/>
  <c r="H845" i="1"/>
  <c r="H844" i="1"/>
  <c r="H843" i="1"/>
  <c r="H842" i="1"/>
  <c r="H838" i="1"/>
  <c r="H837" i="1"/>
  <c r="H836" i="1"/>
  <c r="H835" i="1"/>
  <c r="H834" i="1"/>
  <c r="H833" i="1"/>
  <c r="H832" i="1"/>
  <c r="H830" i="1"/>
  <c r="H828" i="1"/>
  <c r="H823" i="1"/>
  <c r="H822" i="1"/>
  <c r="H821" i="1"/>
  <c r="H819" i="1"/>
  <c r="H818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24" i="1"/>
  <c r="H825" i="1"/>
  <c r="H826" i="1"/>
  <c r="H827" i="1"/>
  <c r="H829" i="1"/>
  <c r="H831" i="1"/>
  <c r="H839" i="1"/>
  <c r="H840" i="1"/>
  <c r="H841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</calcChain>
</file>

<file path=xl/sharedStrings.xml><?xml version="1.0" encoding="utf-8"?>
<sst xmlns="http://schemas.openxmlformats.org/spreadsheetml/2006/main" count="6300" uniqueCount="1227">
  <si>
    <t>Nit</t>
  </si>
  <si>
    <t>Cliente</t>
  </si>
  <si>
    <t>Nombre comercial</t>
  </si>
  <si>
    <t>Vendedor</t>
  </si>
  <si>
    <t>Canal</t>
  </si>
  <si>
    <t>A MANO SAS</t>
  </si>
  <si>
    <t>JORGE PARDO</t>
  </si>
  <si>
    <t>HORECA</t>
  </si>
  <si>
    <t>ABEL Y SOFIA SAS</t>
  </si>
  <si>
    <t>ANGELA SILVESTRE</t>
  </si>
  <si>
    <t>ACVL S.A.S</t>
  </si>
  <si>
    <t>Mayoristas</t>
  </si>
  <si>
    <t>ADRIAN  ALVAREZ</t>
  </si>
  <si>
    <t>ADRIANA  BERMUDEZ RAMIREZ</t>
  </si>
  <si>
    <t>ADRIANA  RUBIO MARTINEZ</t>
  </si>
  <si>
    <t>Mostrador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</si>
  <si>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</si>
  <si>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</si>
  <si>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</si>
  <si>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</si>
  <si>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</si>
  <si>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</si>
  <si>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</si>
  <si>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</si>
  <si>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</si>
  <si>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</si>
  <si>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</si>
  <si>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</si>
  <si>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</si>
  <si>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</si>
  <si>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</si>
  <si>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ALFREDO  PARDO PRADA</t>
  </si>
  <si>
    <t>ALIMENTOS BENAL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</si>
  <si>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</si>
  <si>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</si>
  <si>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</si>
  <si>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</si>
  <si>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</si>
  <si>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</si>
  <si>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</si>
  <si>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</si>
  <si>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</si>
  <si>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</si>
  <si>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</si>
  <si>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</si>
  <si>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</si>
  <si>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</si>
  <si>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</si>
  <si>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</si>
  <si>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</si>
  <si>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</si>
  <si>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</si>
  <si>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</si>
  <si>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</si>
  <si>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</si>
  <si>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</si>
  <si>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</si>
  <si>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</si>
  <si>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</si>
  <si>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</si>
  <si>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</si>
  <si>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JHONATAN DIAZ</t>
  </si>
  <si>
    <t>ANGEL  FONTIBON</t>
  </si>
  <si>
    <t>ANGEL CRISANTO HERNANDEZ JUNCO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</si>
  <si>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</si>
  <si>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</si>
  <si>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</si>
  <si>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</si>
  <si>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</si>
  <si>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</si>
  <si>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</si>
  <si>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</si>
  <si>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</si>
  <si>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</si>
  <si>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</si>
  <si>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</si>
  <si>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</si>
  <si>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</si>
  <si>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</si>
  <si>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WILLIAM DARIO PADILLA</t>
  </si>
  <si>
    <t>AUGUSTO MANUEL MATEUS MATEUS</t>
  </si>
  <si>
    <t>AX2 GOURMET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</si>
  <si>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</si>
  <si>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</si>
  <si>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</si>
  <si>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</si>
  <si>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</si>
  <si>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</si>
  <si>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</si>
  <si>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</si>
  <si>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</si>
  <si>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BISTROT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</si>
  <si>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</si>
  <si>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</si>
  <si>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</si>
  <si>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</si>
  <si>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</si>
  <si>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</si>
  <si>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</si>
  <si>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</si>
  <si>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</si>
  <si>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</si>
  <si>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CAJA COLOMBIANA DE SUBSIDIO FAMILIAR COLSUBSIDIO</t>
  </si>
  <si>
    <t>Institucionales</t>
  </si>
  <si>
    <t>CAMILO  JIMENEZ</t>
  </si>
  <si>
    <t>CAMILO  MILLAN PUENTES</t>
  </si>
  <si>
    <t>CAMILO  VILLETA</t>
  </si>
  <si>
    <t>CANAL DIGITAL</t>
  </si>
  <si>
    <t>CANDIDO  CORTES</t>
  </si>
  <si>
    <t>CANTINA LA 15 SAS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</si>
  <si>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</si>
  <si>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</si>
  <si>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</si>
  <si>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</si>
  <si>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</si>
  <si>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</si>
  <si>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</si>
  <si>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</si>
  <si>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</si>
  <si>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ANDRES BALLESTEROS</t>
  </si>
  <si>
    <t>CARLOS ANDRES CORTES PACHON</t>
  </si>
  <si>
    <t>CARLOS ANDRES HERNANDEZ MARTINEZ</t>
  </si>
  <si>
    <t>CARLOS ANDRES SEPEDA RUBIO</t>
  </si>
  <si>
    <t>CARLOS DANIEL BENETTI</t>
  </si>
  <si>
    <t>CARLOS ENRIQUE EISSNER GARZON</t>
  </si>
  <si>
    <t>CARLOS ERNESTO ABRIL ROJAS</t>
  </si>
  <si>
    <t>CARLOS FREDY CAMARGO RODRIGUEZ</t>
  </si>
  <si>
    <t>CARLOS GERMAN MORA</t>
  </si>
  <si>
    <t>CARLOS JULIO OSSA GOMEZ</t>
  </si>
  <si>
    <t>CARLOS MARIO CEBALLOS</t>
  </si>
  <si>
    <t>CARMEN ALICIA URQUIJO GAITAN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</si>
  <si>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</si>
  <si>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</si>
  <si>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</si>
  <si>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</si>
  <si>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</si>
  <si>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</si>
  <si>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</si>
  <si>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</si>
  <si>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</si>
  <si>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</si>
  <si>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</si>
  <si>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</si>
  <si>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</si>
  <si>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</si>
  <si>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EMBUTIDOS SANTA RITA S.A.S</t>
  </si>
  <si>
    <t>CARNICERIA  LAS DOÑAS</t>
  </si>
  <si>
    <t>CARNICOS TORINO S.A.S</t>
  </si>
  <si>
    <t>CARNICOS VERSALLES SAS</t>
  </si>
  <si>
    <t>CAROLA CACEROLA SAS</t>
  </si>
  <si>
    <t>CAROLINA  ZAPATA MUNEVAR</t>
  </si>
  <si>
    <t>CAS COLOMBO AMERICAN SCHOOL S.A.S</t>
  </si>
  <si>
    <t>CASA DE LA CARNE EN COLOMBIA SAS</t>
  </si>
  <si>
    <t>CASINO EL PORTAL NUEVO HORIZONTE SAS</t>
  </si>
  <si>
    <t>CEBARTE SAS</t>
  </si>
  <si>
    <t>CECILIA  LINARES DE FLORES</t>
  </si>
  <si>
    <t>CELESTE CATERING SAS</t>
  </si>
  <si>
    <t>CENTRAL DE CARNES LA NORTEÑITA</t>
  </si>
  <si>
    <t>CENTRO SOCIAL DE AGENTES  PATRULLEROS DE LA POLICIA NACIONAL</t>
  </si>
  <si>
    <t>CESAR  ROLDAN</t>
  </si>
  <si>
    <t>CHAO PESCAO SAS</t>
  </si>
  <si>
    <t>CHARCUTERIA FRANKFURT SAS</t>
  </si>
  <si>
    <t>CHORIZOS Y EMBUTIDOS SANTARROSANOS S.A.S.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</si>
  <si>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</si>
  <si>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</si>
  <si>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</si>
  <si>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</si>
  <si>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</si>
  <si>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</si>
  <si>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</si>
  <si>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</si>
  <si>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</si>
  <si>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</si>
  <si>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</si>
  <si>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</si>
  <si>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</si>
  <si>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</si>
  <si>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CLINICA RETORNAR SAS</t>
  </si>
  <si>
    <t>COCHEROS S.A.S</t>
  </si>
  <si>
    <t>COCTELERIA ARTESANAL SAS</t>
  </si>
  <si>
    <t>CODEMARK COLOMBIA SAS</t>
  </si>
  <si>
    <t>COMERCIALIZADORA AMBIENTAL MUNDO DEL MAÑANA SAS</t>
  </si>
  <si>
    <t>COMERCIALIZADORA DE DESPOJOS CARNICOS DE COLOMBIA S.A.S</t>
  </si>
  <si>
    <t>COMERCIALIZADORA DE LACTEOS RYM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</si>
  <si>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</si>
  <si>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</si>
  <si>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</si>
  <si>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</si>
  <si>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</si>
  <si>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COMMUNAL INVESTMENTS SAS</t>
  </si>
  <si>
    <t>CONSULTORA Y COMERCIALIZADORA APICOLA LA VICTORIUS SAS</t>
  </si>
  <si>
    <t>CONSUMIDOR  FINAL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</si>
  <si>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</si>
  <si>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</si>
  <si>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</si>
  <si>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</si>
  <si>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</si>
  <si>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</si>
  <si>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</si>
  <si>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</si>
  <si>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CAMILO VEGA PALACIOS</t>
  </si>
  <si>
    <t>CRISTIAN DAVID PINILLA MONCADA</t>
  </si>
  <si>
    <t>CRISTIAN MANUEL BELTRAN</t>
  </si>
  <si>
    <t>CRISTIAN MANUEL BELTRAN VALENZUELA</t>
  </si>
  <si>
    <t>CUELLAR SERRANO LOGISTICA S.A.S</t>
  </si>
  <si>
    <t>CUISINART SAS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</si>
  <si>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</si>
  <si>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</si>
  <si>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</si>
  <si>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</si>
  <si>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</si>
  <si>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</si>
  <si>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</si>
  <si>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</si>
  <si>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</si>
  <si>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</si>
  <si>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</si>
  <si>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</si>
  <si>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</si>
  <si>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</si>
  <si>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DELIMEX S.A.S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</si>
  <si>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</si>
  <si>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</si>
  <si>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</si>
  <si>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</si>
  <si>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</si>
  <si>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</si>
  <si>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</si>
  <si>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</si>
  <si>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</si>
  <si>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</si>
  <si>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</si>
  <si>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ARMANDO CARRANZA GOMEZ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</si>
  <si>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</si>
  <si>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</si>
  <si>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</si>
  <si>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</si>
  <si>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</si>
  <si>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</si>
  <si>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</si>
  <si>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</si>
  <si>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</si>
  <si>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</si>
  <si>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</si>
  <si>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</si>
  <si>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</si>
  <si>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</si>
  <si>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</si>
  <si>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DOLLY YANETH MORALES</t>
  </si>
  <si>
    <t>DON JEDIONDO SOPITAS Y PARRILLA SAS</t>
  </si>
  <si>
    <t>DONDOHE4K S.A.S</t>
  </si>
  <si>
    <t>DORA ALBA NEVA LANCHEROS</t>
  </si>
  <si>
    <t>DORA ELISA FUQUENE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</si>
  <si>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</si>
  <si>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</si>
  <si>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</si>
  <si>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</si>
  <si>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</si>
  <si>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</si>
  <si>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</si>
  <si>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</si>
  <si>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</si>
  <si>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</si>
  <si>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</si>
  <si>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</si>
  <si>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</si>
  <si>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</si>
  <si>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</si>
  <si>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</t>
  </si>
  <si>
    <t>EL CASTILLO DEL CERDO PC S.A.S</t>
  </si>
  <si>
    <t>EL CERDITO DE LA CORTE</t>
  </si>
  <si>
    <t>EL CERDITO DE LA CORTE LIMITADA</t>
  </si>
  <si>
    <t>EL COMAL SAS</t>
  </si>
  <si>
    <t>EL IMPERIO DEL CERDO PREMIUM S.A.S</t>
  </si>
  <si>
    <t>EL MERO BURRITO S.A.S</t>
  </si>
  <si>
    <t>EL SOL OIL SA</t>
  </si>
  <si>
    <t>ELBA  GALINDO JIMENEZ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</si>
  <si>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</si>
  <si>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</si>
  <si>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</si>
  <si>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</si>
  <si>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</si>
  <si>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</si>
  <si>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</si>
  <si>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</si>
  <si>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</si>
  <si>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</si>
  <si>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</si>
  <si>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</si>
  <si>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</si>
  <si>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</si>
  <si>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</si>
  <si>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</si>
  <si>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</si>
  <si>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</si>
  <si>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</si>
  <si>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</si>
  <si>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</si>
  <si>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</si>
  <si>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</si>
  <si>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</si>
  <si>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</si>
  <si>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</si>
  <si>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</si>
  <si>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FISH MARKET LA FRAGATA S.A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</si>
  <si>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</si>
  <si>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</si>
  <si>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</si>
  <si>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</si>
  <si>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</si>
  <si>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</si>
  <si>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</si>
  <si>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FOOD INVESTORS COLOMBIA SAS</t>
  </si>
  <si>
    <t>FOODME BOGOTA SAS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</si>
  <si>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</si>
  <si>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</si>
  <si>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</si>
  <si>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</si>
  <si>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</si>
  <si>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</si>
  <si>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</si>
  <si>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ALFONSO SUAREZ VILLAMIL</t>
  </si>
  <si>
    <t>FREDY ELEAZAR MALAVER CARDENAS</t>
  </si>
  <si>
    <t>FREINETH JULIETH CAÑON MEDINA</t>
  </si>
  <si>
    <t>FRESCAS Y MADURADAS COLOMBIA S.A.S</t>
  </si>
  <si>
    <t>FRIGOARRAYANES LTDA</t>
  </si>
  <si>
    <t>FRIGOCARGO INTERNACIONAL SAS</t>
  </si>
  <si>
    <t>FRIGOCARNICOS MONSERRATE LIMITADA</t>
  </si>
  <si>
    <t>FRIGORIFICO BLE LTDA</t>
  </si>
  <si>
    <t>FRUBANA S.A.S.</t>
  </si>
  <si>
    <t>FRUTIVER 1A S.A.S</t>
  </si>
  <si>
    <t>FUNDACION COLEGIO SAN CARLOS</t>
  </si>
  <si>
    <t>FUNDACION HOGAR NUEVA GRANADA</t>
  </si>
  <si>
    <t>GABRIEL JOSE SOTO FLOREZ</t>
  </si>
  <si>
    <t>GALVAD SAS</t>
  </si>
  <si>
    <t>GASTROLOGY II S.A.S</t>
  </si>
  <si>
    <t>GASTRONOMIA PAISA SAS</t>
  </si>
  <si>
    <t>GATE GOURMET COLOMBIA SAS</t>
  </si>
  <si>
    <t>GENUINOS COLOMBIA SAS</t>
  </si>
  <si>
    <t>GERARDINO MENDEZ PARRA</t>
  </si>
  <si>
    <t>GERARDO AMALIO ESPITIA SOTELO</t>
  </si>
  <si>
    <t>GERMAN  CHAVARRO</t>
  </si>
  <si>
    <t>GERMAN  CHAVARRO RODRIGUEZ</t>
  </si>
  <si>
    <t>GERMAN  LOZANO</t>
  </si>
  <si>
    <t>GERMAN  MORA</t>
  </si>
  <si>
    <t>GERMAN  NAVAS PINZON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</si>
  <si>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</si>
  <si>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</si>
  <si>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</si>
  <si>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</si>
  <si>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</si>
  <si>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</si>
  <si>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GOLDEN JT SAS</t>
  </si>
  <si>
    <t>GONZALEZ GUTIERREZ DIEGO ENRIQUE</t>
  </si>
  <si>
    <t>GORDO Y TOMO SAS</t>
  </si>
  <si>
    <t>GRANJA ME ENCANTA YGYRESTAURANTE CAFE S.A.S</t>
  </si>
  <si>
    <t>GRILLA SAS</t>
  </si>
  <si>
    <t>GRUPO 5 G SAS</t>
  </si>
  <si>
    <t>GRUPO ARTAK S.A.S</t>
  </si>
  <si>
    <t>GRUPO EMPRESARIAL GENUINOS S.A.S</t>
  </si>
  <si>
    <t>GRUPO GASTRONOMICO CHACHI &amp; SANCHEZ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</si>
  <si>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</si>
  <si>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</si>
  <si>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</si>
  <si>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</si>
  <si>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</si>
  <si>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</si>
  <si>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</si>
  <si>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</si>
  <si>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</si>
  <si>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</si>
  <si>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</si>
  <si>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</si>
  <si>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</si>
  <si>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</si>
  <si>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</si>
  <si>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</si>
  <si>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HUMO CAFE &amp; BISTRO SAS</t>
  </si>
  <si>
    <t>HYDRAULICTECH S.A.S</t>
  </si>
  <si>
    <t>HYGGE S.A.S</t>
  </si>
  <si>
    <t>INDUCOLCARNES S.A.S</t>
  </si>
  <si>
    <t>INDUSTRIAS CARNICAS MAFRE SAS</t>
  </si>
  <si>
    <t>INDUSTRIAS DE ALIMENTOS NARDI S.A.S</t>
  </si>
  <si>
    <t>INDUSTRIAS LIDRES SAS</t>
  </si>
  <si>
    <t>INFARTO SAS</t>
  </si>
  <si>
    <t>INVEMARGO S.A.S</t>
  </si>
  <si>
    <t>INVERPORK S.A.S</t>
  </si>
  <si>
    <t>INVERSIONES ACOSTA RAMIREZ S.A.S.</t>
  </si>
  <si>
    <t>Inversiones Agropecuarias Lom SAS</t>
  </si>
  <si>
    <t>INVERSIONES AGROPECUARIAS VIVAS SAS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</si>
  <si>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</si>
  <si>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</si>
  <si>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</si>
  <si>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</si>
  <si>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</si>
  <si>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</si>
  <si>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INVERSIONES EL CARNAL SAS</t>
  </si>
  <si>
    <t>El Carnal</t>
  </si>
  <si>
    <t>INVERSIONES EL DORADO SAS</t>
  </si>
  <si>
    <t>INVERSIONES GUATOQUE SAS</t>
  </si>
  <si>
    <t>INVERSIONES KHIMAIRA S.A.S</t>
  </si>
  <si>
    <t>INVERSIONES LA ESPERANZA RBR SAS</t>
  </si>
  <si>
    <t>INVERSIONES MARTINEZ FRUTIMAX S.A.S</t>
  </si>
  <si>
    <t>INVERSIONES MI TIERRITA SAS</t>
  </si>
  <si>
    <t>INVERSIONES MSA SAS</t>
  </si>
  <si>
    <t>INVERSIONES NGB &amp; CO SAS</t>
  </si>
  <si>
    <t>INVERSIONES ORANGE BLUE SAS</t>
  </si>
  <si>
    <t>INVERSIONES PEDERNALES SAS</t>
  </si>
  <si>
    <t>IPT INVERSIONES</t>
  </si>
  <si>
    <t>IRISH COMPANY COLOMBIA S A S</t>
  </si>
  <si>
    <t>ISABEL  PACHON</t>
  </si>
  <si>
    <t>ISMAEL  GARZON NUEVA ZELANDIA</t>
  </si>
  <si>
    <t>ITALCOL SAS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</si>
  <si>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</si>
  <si>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</si>
  <si>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</si>
  <si>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</si>
  <si>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</si>
  <si>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</si>
  <si>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</si>
  <si>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</si>
  <si>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</si>
  <si>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</si>
  <si>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</si>
  <si>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</si>
  <si>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</si>
  <si>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</si>
  <si>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</si>
  <si>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</si>
  <si>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</si>
  <si>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</si>
  <si>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</si>
  <si>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</si>
  <si>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</si>
  <si>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</si>
  <si>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</si>
  <si>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</si>
  <si>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</si>
  <si>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</si>
  <si>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</si>
  <si>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</si>
  <si>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</si>
  <si>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</si>
  <si>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</si>
  <si>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</si>
  <si>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</si>
  <si>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</si>
  <si>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</si>
  <si>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</si>
  <si>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JORDY  DE LA HOZ TORRES</t>
  </si>
  <si>
    <t>JORGE  BRANGUS</t>
  </si>
  <si>
    <t>JORGE  JIMENEZ</t>
  </si>
  <si>
    <t>JORGE  MENDOZA</t>
  </si>
  <si>
    <t>JORGE  PORRAS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</si>
  <si>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</si>
  <si>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</si>
  <si>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</si>
  <si>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</si>
  <si>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</si>
  <si>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</si>
  <si>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DIEGO MOSQUERA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</si>
  <si>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</si>
  <si>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</si>
  <si>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</si>
  <si>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</si>
  <si>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</si>
  <si>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</si>
  <si>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</si>
  <si>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</si>
  <si>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</si>
  <si>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</si>
  <si>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</si>
  <si>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</si>
  <si>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</si>
  <si>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</si>
  <si>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</si>
  <si>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</si>
  <si>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</si>
  <si>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</si>
  <si>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</si>
  <si>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</si>
  <si>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</si>
  <si>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</si>
  <si>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</si>
  <si>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</si>
  <si>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</si>
  <si>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</si>
  <si>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KIMI SAS</t>
  </si>
  <si>
    <t>KIRO SAS</t>
  </si>
  <si>
    <t>KITCHEN CONSULTING S.A.S.</t>
  </si>
  <si>
    <t>KOE4K S.A.S</t>
  </si>
  <si>
    <t>LA BIFERIA</t>
  </si>
  <si>
    <t>LA COA S.A.S</t>
  </si>
  <si>
    <t>LA ESTRELLA S.A.S</t>
  </si>
  <si>
    <t>LA FRAGATA NORTE SAS</t>
  </si>
  <si>
    <t>LA HORMIGA SANTANDEREANA</t>
  </si>
  <si>
    <t>LA NETA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</si>
  <si>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</si>
  <si>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</si>
  <si>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</si>
  <si>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</si>
  <si>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</si>
  <si>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SOCIEDAD POR ACCIONES SIMPLIFICADA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</si>
  <si>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</si>
  <si>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</si>
  <si>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</si>
  <si>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</si>
  <si>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</si>
  <si>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</si>
  <si>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</si>
  <si>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</si>
  <si>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</si>
  <si>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</si>
  <si>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</si>
  <si>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</si>
  <si>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DAZA</t>
  </si>
  <si>
    <t>LIDA  INES</t>
  </si>
  <si>
    <t>LILIAN  MATEUS ARIZA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</si>
  <si>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</si>
  <si>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</si>
  <si>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</si>
  <si>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</si>
  <si>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</si>
  <si>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</si>
  <si>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LONGO S.A.S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</si>
  <si>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</si>
  <si>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</si>
  <si>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</si>
  <si>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</si>
  <si>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</si>
  <si>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</si>
  <si>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</si>
  <si>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</si>
  <si>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</si>
  <si>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</si>
  <si>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</si>
  <si>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</si>
  <si>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</si>
  <si>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</si>
  <si>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</si>
  <si>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</si>
  <si>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</si>
  <si>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MACS COMERCIALIZADORA Y DISTRIBUIDORA SAS B.I.C</t>
  </si>
  <si>
    <t>MADURAMOS SAS</t>
  </si>
  <si>
    <t>MAESTRI TRADIZIONE S.A.S</t>
  </si>
  <si>
    <t>MAICOL ALEXANDER RODRIGUEZ MARTINEZ</t>
  </si>
  <si>
    <t>MANAKAO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</si>
  <si>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</si>
  <si>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</si>
  <si>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</si>
  <si>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</si>
  <si>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</si>
  <si>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</si>
  <si>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</si>
  <si>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</si>
  <si>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</si>
  <si>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</si>
  <si>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</si>
  <si>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CRISTINA JAIME</t>
  </si>
  <si>
    <t>MARIA DEL CARMEN PAEZ DE RICO</t>
  </si>
  <si>
    <t>MARIA GRACIELA ZABALA SILVA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</si>
  <si>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</si>
  <si>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</si>
  <si>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</si>
  <si>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</si>
  <si>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</si>
  <si>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</si>
  <si>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</si>
  <si>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</si>
  <si>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</si>
  <si>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</si>
  <si>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</si>
  <si>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</si>
  <si>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</si>
  <si>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</si>
  <si>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</si>
  <si>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</si>
  <si>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</si>
  <si>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</si>
  <si>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</si>
  <si>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</si>
  <si>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</si>
  <si>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</si>
  <si>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</si>
  <si>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</si>
  <si>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</si>
  <si>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</si>
  <si>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BM  SAS</t>
  </si>
  <si>
    <t>MERCADOS COLOMBIANOS JBM S.A.S</t>
  </si>
  <si>
    <t>MERKMIOS SAS</t>
  </si>
  <si>
    <t>MESABAR SAS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</si>
  <si>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</si>
  <si>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</si>
  <si>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</si>
  <si>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</si>
  <si>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</si>
  <si>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</si>
  <si>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MILENA  NORMANDIA</t>
  </si>
  <si>
    <t>MINI MAL LTDA</t>
  </si>
  <si>
    <t>MIRIAM  CHOCONTA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</si>
  <si>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</si>
  <si>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</si>
  <si>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</si>
  <si>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</si>
  <si>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</si>
  <si>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</si>
  <si>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</si>
  <si>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MUNCHER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</si>
  <si>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</si>
  <si>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</si>
  <si>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</si>
  <si>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</si>
  <si>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</si>
  <si>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</si>
  <si>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</si>
  <si>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</si>
  <si>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ABEL NOREÑA URREA</t>
  </si>
  <si>
    <t>NESTOR ENRIQUE AGUILAR CASTAÑEDA</t>
  </si>
  <si>
    <t>NESTOR JULIAN VIRVIESCAS ARDILA</t>
  </si>
  <si>
    <t>NEUFAR  RODRIGUEZ</t>
  </si>
  <si>
    <t>nicolas  ardila galvis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</si>
  <si>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</si>
  <si>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</si>
  <si>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</si>
  <si>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</si>
  <si>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</si>
  <si>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</si>
  <si>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</si>
  <si>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</si>
  <si>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</si>
  <si>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</si>
  <si>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</si>
  <si>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OSAKA COCINA NIKKEI S.A.S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</si>
  <si>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</si>
  <si>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</si>
  <si>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</si>
  <si>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</si>
  <si>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</si>
  <si>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</si>
  <si>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OSTAK S.A.S</t>
  </si>
  <si>
    <t>P Y P INVERSIONES S.A.S</t>
  </si>
  <si>
    <t>PABLO  BRICEÑO LOPEZ</t>
  </si>
  <si>
    <t>PABLO  GARCIA</t>
  </si>
  <si>
    <t>PANADERIA Y JAMONES ROA E.U.</t>
  </si>
  <si>
    <t>PAPRIKA COCINA A LA LEÑA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</si>
  <si>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</si>
  <si>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</si>
  <si>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</si>
  <si>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</si>
  <si>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</si>
  <si>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</si>
  <si>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</si>
  <si>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</si>
  <si>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</si>
  <si>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</si>
  <si>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</si>
  <si>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PIGNIC PORCITEC CCOLOMBIA SAS</t>
  </si>
  <si>
    <t>PILAS Y BATERIAS SA</t>
  </si>
  <si>
    <t>PODER BGTA SAS</t>
  </si>
  <si>
    <t>POLA Y TEJO SAS</t>
  </si>
  <si>
    <t>POLLO OLIMPICO SA</t>
  </si>
  <si>
    <t>POSEIDON PRODUCTOS DEL MAR SAS</t>
  </si>
  <si>
    <t>PRIME PRODUCCIONES S..A</t>
  </si>
  <si>
    <t>PROCESADORA DE ALIMENTOS MORANI S.A.S</t>
  </si>
  <si>
    <t>PROCESADORA DE CARNES NUEVA COLOMBO ALEMANA LTDA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</si>
  <si>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</si>
  <si>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</si>
  <si>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</si>
  <si>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</si>
  <si>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</si>
  <si>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</si>
  <si>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PURA SABROSURA SAS</t>
  </si>
  <si>
    <t>PURO  HUMO S.A.S</t>
  </si>
  <si>
    <t>R &amp; A FOOD SAS</t>
  </si>
  <si>
    <t>R.G. GOURMET SAS</t>
  </si>
  <si>
    <t>RAFAEL ALFONSO DAZA RAMIREZ</t>
  </si>
  <si>
    <t>RAQUEL  PALOMAR</t>
  </si>
  <si>
    <t>RENE ARTURO BAREÑO CAMPOS</t>
  </si>
  <si>
    <t>RESTAURANTE PEZ &amp; PARRILLA</t>
  </si>
  <si>
    <t>RESTAURANTE PORQUE AJA S.A.S</t>
  </si>
  <si>
    <t>RETACO SAS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</si>
  <si>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</si>
  <si>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</si>
  <si>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</si>
  <si>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</si>
  <si>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</si>
  <si>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</si>
  <si>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</si>
  <si>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</si>
  <si>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</si>
  <si>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</si>
  <si>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</si>
  <si>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</si>
  <si>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</si>
  <si>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</si>
  <si>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</si>
  <si>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</si>
  <si>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</si>
  <si>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</si>
  <si>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</si>
  <si>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SANSON SAS</t>
  </si>
  <si>
    <t>SANTA COSTILLA S.A.S</t>
  </si>
  <si>
    <t>SAPORE SAS</t>
  </si>
  <si>
    <t>SAUL  NARANJO</t>
  </si>
  <si>
    <t>SAUL  ROMERO BUITRAGO</t>
  </si>
  <si>
    <t>SAYDY SIRLEY BOBADILLA HERNANDEZ</t>
  </si>
  <si>
    <t>SEBALI SAS</t>
  </si>
  <si>
    <t>SEBASTIAN  ESLAVA</t>
  </si>
  <si>
    <t>SEBASTIAN ESLAVA DANGOND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</si>
  <si>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</si>
  <si>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</si>
  <si>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</si>
  <si>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</si>
  <si>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</si>
  <si>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</si>
  <si>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</si>
  <si>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</si>
  <si>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SIA SAS</t>
  </si>
  <si>
    <t>SIPOTE BURRITO S.A</t>
  </si>
  <si>
    <t>SIRLY TATIANA ARZUZA MARTINEZ</t>
  </si>
  <si>
    <t>SMILE BOGOTA SAS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</si>
  <si>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</si>
  <si>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</si>
  <si>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</si>
  <si>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</si>
  <si>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</si>
  <si>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</si>
  <si>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</si>
  <si>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</si>
  <si>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</si>
  <si>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</si>
  <si>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</si>
  <si>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</si>
  <si>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TAKAMI</t>
  </si>
  <si>
    <t>TARCICIO  GARZON</t>
  </si>
  <si>
    <t>TEOFILO ELIPIDIO MATEUS VALENZUELA</t>
  </si>
  <si>
    <t>TERMINADOS PUBLICITARIOS SAMAR S.A.S</t>
  </si>
  <si>
    <t>THE BEER WAGON PUB SAS</t>
  </si>
  <si>
    <t>THE NEXT SHOT S.A.S</t>
  </si>
  <si>
    <t>THE PUB SAS</t>
  </si>
  <si>
    <t>TIGRE COLOMBIA S.A.S</t>
  </si>
  <si>
    <t>TODOS COMEMOS SAS</t>
  </si>
  <si>
    <t>TOMAHAWK MERCADO DE CARNES</t>
  </si>
  <si>
    <t>TOMAHAWK MERCADO DE CARNES SAS</t>
  </si>
  <si>
    <t>TOMAS ALFREDO REYES VARELA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</si>
  <si>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</si>
  <si>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</si>
  <si>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</si>
  <si>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</si>
  <si>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</si>
  <si>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</si>
  <si>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</si>
  <si>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</si>
  <si>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</si>
  <si>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</si>
  <si>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</si>
  <si>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</si>
  <si>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</si>
  <si>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</si>
  <si>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</si>
  <si>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</si>
  <si>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</si>
  <si>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</si>
  <si>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</si>
  <si>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</si>
  <si>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</si>
  <si>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</si>
  <si>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</si>
  <si>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</si>
  <si>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XICO</t>
  </si>
  <si>
    <t>XIOMARA  LA CORUÑA</t>
  </si>
  <si>
    <t>XIOMARA  OLARTE</t>
  </si>
  <si>
    <t>YACOTA S.A.S</t>
  </si>
  <si>
    <t>YAMI  LOPEZ</t>
  </si>
  <si>
    <t>YAMID  LOPEZ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</si>
  <si>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</si>
  <si>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</si>
  <si>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</si>
  <si>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</si>
  <si>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</si>
  <si>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</si>
  <si>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</si>
  <si>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</si>
  <si>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</si>
  <si>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ZULLY  FLORES</t>
  </si>
  <si>
    <t>ZX VENTURES COLOMBIA SAS</t>
  </si>
  <si>
    <t>BALLEN LEON GOURMET SAS</t>
  </si>
  <si>
    <t>CARNES &amp; CIA SAS</t>
  </si>
  <si>
    <t>JHON HENDERSON RODRIGUEZ MAHECHA</t>
  </si>
  <si>
    <t>SEXTO RESTAURANTES SAS</t>
  </si>
  <si>
    <t>TORRE E INVERSIONES SAS</t>
  </si>
  <si>
    <t>LUZ MARINA PELAYO ORTIZ</t>
  </si>
  <si>
    <t>ANDRES FERNANDO CORTES HERNANDEZ</t>
  </si>
  <si>
    <t>INVERSIONES TRES MILAGROS SAS</t>
  </si>
  <si>
    <t>CARNES Y HUEVOS K SAS</t>
  </si>
  <si>
    <t>PEYBU SAS</t>
  </si>
  <si>
    <t>OWS SPORT SAS</t>
  </si>
  <si>
    <t>REEVENT GROUP SAS</t>
  </si>
  <si>
    <t>ROBINFOOD COLOMBIA SAS</t>
  </si>
  <si>
    <t>SAGRADO BGTA SAS</t>
  </si>
  <si>
    <t>DUFLO SERVICIOS INTEGRALES S.A.S.</t>
  </si>
  <si>
    <t>CATEDRAL SAS</t>
  </si>
  <si>
    <t>PCC SA</t>
  </si>
  <si>
    <t>ARIAS GUERRA Y ASOCIADOS</t>
  </si>
  <si>
    <t>JUAN MANUEL PALLARES ARRIETA</t>
  </si>
  <si>
    <t>PANTRY FOOD SAS</t>
  </si>
  <si>
    <t>SOSTENIBILIDAD S.A.S.</t>
  </si>
  <si>
    <t>GRUPO LA LA LA SAS</t>
  </si>
  <si>
    <t>COLEGIOS COLOMBIANOS SAS</t>
  </si>
  <si>
    <t>M&amp;R GASTRONOMY SAS</t>
  </si>
  <si>
    <t>INVERSIONES Y SOLUCIONES DE TRADICION SAS</t>
  </si>
  <si>
    <t>GODDARD CATERING GROUP BOGOTA SAS</t>
  </si>
  <si>
    <t>AVICALDAS PREMIUM SAS</t>
  </si>
  <si>
    <t>CATERING PREMUIM SERVICE SAS</t>
  </si>
  <si>
    <t>BACO FOODS COLOMBIA S.A.S</t>
  </si>
  <si>
    <t>LACTEOS APPENZELL S.A.S</t>
  </si>
  <si>
    <t>VALENTINA  GOMEZ CAÑON</t>
  </si>
  <si>
    <t>WHITE COMPANY SAS</t>
  </si>
  <si>
    <t>SUPER NUEVO MILENIO SA</t>
  </si>
  <si>
    <t>MOYSER SAS</t>
  </si>
  <si>
    <t>CAMPO DEL FIORI SAS</t>
  </si>
  <si>
    <t>KAREN GISSET MARTINEZ SANDOVAL</t>
  </si>
  <si>
    <t>ERROR CEDULA KAREN GISSET MARTINEZ SANDOVAL</t>
  </si>
  <si>
    <t xml:space="preserve"> CEDULA KAREN GISSET MARTINEZ SANDOVAL</t>
  </si>
  <si>
    <t>ERRO NIT CUISINART SAS</t>
  </si>
  <si>
    <t>INDELPA SAS</t>
  </si>
  <si>
    <t>INVERSIONES SUPER ROYAL CARIBE SA</t>
  </si>
  <si>
    <t>COMERCIALIZADORA PINER SAS</t>
  </si>
  <si>
    <t>DEKARLA SAS</t>
  </si>
  <si>
    <t>ANDRES MAURICIO CUELLAR HERRERA</t>
  </si>
  <si>
    <t>79646110</t>
  </si>
  <si>
    <t>JOHN DIEGO GUTIERREZ POLANCO</t>
  </si>
  <si>
    <t>MOKHA Pasteleria</t>
  </si>
  <si>
    <t>1120560126</t>
  </si>
  <si>
    <t>ELIZABETH  MURILLO VALENCIA</t>
  </si>
  <si>
    <t>Surtiaves tradicion y sabor</t>
  </si>
  <si>
    <t>79457023</t>
  </si>
  <si>
    <t>IVAN RODRIGO LUQUE RESTREPO0</t>
  </si>
  <si>
    <t>Las Vacas Gordas Parrilla</t>
  </si>
  <si>
    <t>IVAN RODRIGO LUQUE RESTREPO</t>
  </si>
  <si>
    <t>80251957</t>
  </si>
  <si>
    <t>DIEGO ARMANDO CESPEDES</t>
  </si>
  <si>
    <t>Restaurante caseros</t>
  </si>
  <si>
    <t>901789519</t>
  </si>
  <si>
    <t>ALIANZA DOC SAS</t>
  </si>
  <si>
    <t>Restaurante DOC SAS</t>
  </si>
  <si>
    <t>MIJAIR ANDRES CALDERON ARGOTY</t>
  </si>
  <si>
    <t>Rio Bistro Café Gastro Bar</t>
  </si>
  <si>
    <t>LILIANA  DAZA RIAPIRA</t>
  </si>
  <si>
    <t>Sabor Santandereano de la82</t>
  </si>
  <si>
    <t>NIEVES  GUTIERREZ CORREAL</t>
  </si>
  <si>
    <t>Casa de la Sazón</t>
  </si>
  <si>
    <t>SONIA CONTANZA CARDENAS MURCIA</t>
  </si>
  <si>
    <t>Restaurante Fason</t>
  </si>
  <si>
    <t>DOLLY EDITH SANABRIA CANTOR</t>
  </si>
  <si>
    <t>Tres caminos Café restaurante</t>
  </si>
  <si>
    <t>YALINDI  BONILLA GRANADOS</t>
  </si>
  <si>
    <t>Restaurante Angol</t>
  </si>
  <si>
    <t>DIEGO ALEJANDRO ALZATE GONZALEZ</t>
  </si>
  <si>
    <t>SANDRA MILENA VARGAS QUIROGA</t>
  </si>
  <si>
    <t>El Grill de la abuela</t>
  </si>
  <si>
    <t>HELBERT ANDRES RAMIREZ TOCARRUNCHO</t>
  </si>
  <si>
    <t>Parrilla fusion café restaurante bar</t>
  </si>
  <si>
    <t>ANA LUCIA BAUTISTA MANCILLA</t>
  </si>
  <si>
    <t>Al fogón Carnes y sopas</t>
  </si>
  <si>
    <t>DARWIN GEOVANNI OCHOA MERCHAN</t>
  </si>
  <si>
    <t>Los Saboros del sabor</t>
  </si>
  <si>
    <t>CARLOS ALBERTO MORENO QUEMBA</t>
  </si>
  <si>
    <t>El portal del pernil Ahumado</t>
  </si>
  <si>
    <t>DOROTEA PARRILA SAS</t>
  </si>
  <si>
    <t>Dorotea Parrilla</t>
  </si>
  <si>
    <t>DOROTEA PARRILLA BAR SAS</t>
  </si>
  <si>
    <t>GSF INVESTMENTS SAS</t>
  </si>
  <si>
    <t>LAO KAO SA</t>
  </si>
  <si>
    <t>LE CABRERA SAS</t>
  </si>
  <si>
    <t>PPC SA</t>
  </si>
  <si>
    <t>830005433</t>
  </si>
  <si>
    <t>PACIFIC SEA FOOD S.A.S. BIC</t>
  </si>
  <si>
    <t>901144061</t>
  </si>
  <si>
    <t>LOVE CHICHARRON S.A.S</t>
  </si>
  <si>
    <t>901921762</t>
  </si>
  <si>
    <t>901736769</t>
  </si>
  <si>
    <t>NANCHOS 24 HORAS SAS</t>
  </si>
  <si>
    <t>901702079</t>
  </si>
  <si>
    <t>FUERZA INTENSA SAS</t>
  </si>
  <si>
    <t>AL CORTE SAN MIGUEL SAS</t>
  </si>
  <si>
    <t>901015983</t>
  </si>
  <si>
    <t>ALINNOVA SAS</t>
  </si>
  <si>
    <t>901399181</t>
  </si>
  <si>
    <t>CEVICHE FUSION</t>
  </si>
  <si>
    <t>1121921546</t>
  </si>
  <si>
    <t>GINA ALEXANDRA OCHOA CASTAÑEDA</t>
  </si>
  <si>
    <t>WILSON FERNANDO CASTANEDA LOPEZ</t>
  </si>
  <si>
    <t>CIELO ALEXANDRA MENDOZA RODRIGUEZ</t>
  </si>
  <si>
    <t>CRISTIAN  ROJAS RIVERA</t>
  </si>
  <si>
    <t>MAIN FREIGHT COLOMBIA SAS</t>
  </si>
  <si>
    <t>WILSON MAURICIO COTRINA POBLADOR</t>
  </si>
  <si>
    <t>GLORIA  BARATO DE PINZON</t>
  </si>
  <si>
    <t>INVERSIONES GASTRONOMICAS Y AGROPECUARIAS A G SAS</t>
  </si>
  <si>
    <t>WILSON  DIAZ GOMEZ</t>
  </si>
  <si>
    <t>ADRIANO  ALVAREZ LOZANO</t>
  </si>
  <si>
    <t>Jorge?</t>
  </si>
  <si>
    <t>CARLOS ANDRES LOMBANA CASTELLANOS</t>
  </si>
  <si>
    <t>GRUPO LA KASTA M&amp;R SAS</t>
  </si>
  <si>
    <t>JONATHAN ANDRES DIAZ VANEGAS</t>
  </si>
  <si>
    <t>HEAVY METAL BGTA SAS</t>
  </si>
  <si>
    <t>ALTO BISTRO SAS</t>
  </si>
  <si>
    <t>CAFE RADIO ESTRELLA SAS</t>
  </si>
  <si>
    <t>GRUPO GIRA SAS</t>
  </si>
  <si>
    <t>RODOLFO  DIAZ</t>
  </si>
  <si>
    <t>ZELVATICA ATELIER SAS</t>
  </si>
  <si>
    <t>ZONA GOURMET SAS</t>
  </si>
  <si>
    <t>ALEJANDRO  DURAN</t>
  </si>
  <si>
    <t>ANA DOLORES CORONEL PARDO</t>
  </si>
  <si>
    <t>ANA MARIA FRANCO AMAYA</t>
  </si>
  <si>
    <t>BENJAMIN  CHAPARRO AMEZQUITA</t>
  </si>
  <si>
    <t>FAINNELSON  RINCON CASTELBLANCO</t>
  </si>
  <si>
    <t>FELIPE BECERRA ZAPATA</t>
  </si>
  <si>
    <t>GONZALEZ GOMEZ JOSE LUIS</t>
  </si>
  <si>
    <t>GUSTAVO  ALARCON MEJIA</t>
  </si>
  <si>
    <t>HILDEBRANDO  CARREÑO</t>
  </si>
  <si>
    <t>INVERSIONES GANADERIA SANTAMARIA SAS</t>
  </si>
  <si>
    <t>JOHAN  MORALES</t>
  </si>
  <si>
    <t>JORGE  RODRIGUEZ</t>
  </si>
  <si>
    <t>JOSE ANTONIO SARMIENTO SUAREZ</t>
  </si>
  <si>
    <t>OSCAR ORLANDO GARAVITO JIMENEZ</t>
  </si>
  <si>
    <t>OSMAR  PEÑA</t>
  </si>
  <si>
    <t>PATRICIA  CHAPARRO AMEZQUITA</t>
  </si>
  <si>
    <t>PAULA JINNET ARDILA GOMEZ</t>
  </si>
  <si>
    <t>PENTAGONO INVERSIONES SAS</t>
  </si>
  <si>
    <t>ROCIO YAZMIN TORRES PEREZ</t>
  </si>
  <si>
    <t>SARUPETROL SAS</t>
  </si>
  <si>
    <t>WALTER  BECERRA</t>
  </si>
  <si>
    <t>901222813</t>
  </si>
  <si>
    <t>901498165</t>
  </si>
  <si>
    <t>THE BOY ENTERPRISES SAS</t>
  </si>
  <si>
    <t>13501368</t>
  </si>
  <si>
    <t>MARCO TULIO MELGAREJO LEAL</t>
  </si>
  <si>
    <t>901889936</t>
  </si>
  <si>
    <t>4G FOOD SAS</t>
  </si>
  <si>
    <t>52164447</t>
  </si>
  <si>
    <t>ALBA MARIA GONZALEZ IBAÑEZ</t>
  </si>
  <si>
    <t>1031151163</t>
  </si>
  <si>
    <t>ANYI LORENA MARTINEZ CONTRERAS</t>
  </si>
  <si>
    <t>52334222</t>
  </si>
  <si>
    <t>BASTIDAS MEDINA MARCELA</t>
  </si>
  <si>
    <t>901246391</t>
  </si>
  <si>
    <t>EARTH AND FOOD SAS</t>
  </si>
  <si>
    <t>900231070</t>
  </si>
  <si>
    <t>FRIGORIFICOS BLE SAS</t>
  </si>
  <si>
    <t>19480903</t>
  </si>
  <si>
    <t>GOMEZ ARIAS CARLOS ARTURO</t>
  </si>
  <si>
    <t>830055363</t>
  </si>
  <si>
    <t>INDUSTRIA DE ALIMENTOS JACLER LTDA</t>
  </si>
  <si>
    <t>1000595418</t>
  </si>
  <si>
    <t>JAIR SEBASTIAN ROJAS PULIDO</t>
  </si>
  <si>
    <t>1015463459</t>
  </si>
  <si>
    <t>JESSIKA CATHERINE RINCON ABREU</t>
  </si>
  <si>
    <t>901582851</t>
  </si>
  <si>
    <t>JHONES PIG SAS</t>
  </si>
  <si>
    <t>1031159845</t>
  </si>
  <si>
    <t>JUAN DAVID MENESES ARIZA</t>
  </si>
  <si>
    <t>80197543</t>
  </si>
  <si>
    <t>LUIS ANTONIO TOVAR ARIAS</t>
  </si>
  <si>
    <t>1030589647</t>
  </si>
  <si>
    <t>MARTHA LUCIA GONZALEZ GRANADOS</t>
  </si>
  <si>
    <t>901124662</t>
  </si>
  <si>
    <t>TUKAN ALIMENTOS SAS</t>
  </si>
  <si>
    <t>3065486</t>
  </si>
  <si>
    <t>YAMID MARTIN LOPEZ MENDEZ</t>
  </si>
  <si>
    <t>1192757651</t>
  </si>
  <si>
    <t>LUIS ALBERTO PEREZ FONSECA</t>
  </si>
  <si>
    <t>1022398816</t>
  </si>
  <si>
    <t>JERSON ALVAREZ</t>
  </si>
  <si>
    <t>1024558934</t>
  </si>
  <si>
    <t>ROJAS TRIANA ANGIE JULIETH</t>
  </si>
  <si>
    <t>1030562094</t>
  </si>
  <si>
    <t>JHORDAN FABIAN REYES NARANJO</t>
  </si>
  <si>
    <t>900504404</t>
  </si>
  <si>
    <t>CJM INVERSIONES S.A.S</t>
  </si>
  <si>
    <t>52313437</t>
  </si>
  <si>
    <t>ANDREA  ALZATE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</si>
  <si>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</si>
  <si>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</si>
  <si>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</si>
  <si>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</si>
  <si>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</si>
  <si>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</si>
  <si>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</si>
  <si>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901905843</t>
  </si>
  <si>
    <t>AZOTEA BARBECUE S.A.S.</t>
  </si>
  <si>
    <t>900202994</t>
  </si>
  <si>
    <t>CASTELBLANCO PEDROZA LTDA</t>
  </si>
  <si>
    <t>901730363</t>
  </si>
  <si>
    <t>COCINA FUSION VERDES Y MADUROS MANGO CHARANGA SAS</t>
  </si>
  <si>
    <t>901639382</t>
  </si>
  <si>
    <t>COMUNION BGTA SAS</t>
  </si>
  <si>
    <t>901621600</t>
  </si>
  <si>
    <t>DINORAH LABORATORIO AUDIOVISUAL SAS</t>
  </si>
  <si>
    <t>1018466353</t>
  </si>
  <si>
    <t>DUARTE POSADA VALERIA</t>
  </si>
  <si>
    <t>10245369454</t>
  </si>
  <si>
    <t>ERROR CEDULA</t>
  </si>
  <si>
    <t>80001418</t>
  </si>
  <si>
    <t>FABIAN LEONARGO GOMEZ JUNCA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</si>
  <si>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</si>
  <si>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</si>
  <si>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</si>
  <si>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</si>
  <si>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</si>
  <si>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</si>
  <si>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</si>
  <si>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</si>
  <si>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</si>
  <si>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</si>
  <si>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</si>
  <si>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JOSE RODRIGO SUAREZ TORRES</t>
  </si>
  <si>
    <t>JENNIFER GONZALEZ TRIANA</t>
  </si>
  <si>
    <t>901820420</t>
  </si>
  <si>
    <t>LIVEEX SAS</t>
  </si>
  <si>
    <t>900121964</t>
  </si>
  <si>
    <t>LOS HORNITOS PASTELERIA Y PANADERIA SAS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</si>
  <si>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</si>
  <si>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</si>
  <si>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</si>
  <si>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</si>
  <si>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</si>
  <si>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</si>
  <si>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</si>
  <si>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NOVA MAR DEVELOPMENT S A</t>
  </si>
  <si>
    <t>901952632</t>
  </si>
  <si>
    <t>NUEVO DON PLUS SAS</t>
  </si>
  <si>
    <t>52490277</t>
  </si>
  <si>
    <t>OLGA PATRICIA TORRES</t>
  </si>
  <si>
    <t>91225712</t>
  </si>
  <si>
    <t>OSCAR  MORENO PEREZ</t>
  </si>
  <si>
    <t>93292098</t>
  </si>
  <si>
    <t>PINEDA FORERO ARNOBIS</t>
  </si>
  <si>
    <t>901910068</t>
  </si>
  <si>
    <t>REFRI ALE SAS</t>
  </si>
  <si>
    <t>52516195</t>
  </si>
  <si>
    <t>RIVERA BLANCO YOSMARY</t>
  </si>
  <si>
    <t>901943966</t>
  </si>
  <si>
    <t>SAN SIMON PARRILLA CON SABOR COLOMBIANO S.A.S</t>
  </si>
  <si>
    <t>16137934</t>
  </si>
  <si>
    <t>TAMAYO SERNA JULIAN ANDRES</t>
  </si>
  <si>
    <t>901952530</t>
  </si>
  <si>
    <t>TRADICION GASTRONOMICA SAS</t>
  </si>
  <si>
    <t>901679729</t>
  </si>
  <si>
    <t>VENTANITA DEL ALMA SAS</t>
  </si>
  <si>
    <t>900892356</t>
  </si>
  <si>
    <t>VILLA CECILIA DESDE 1953 SAS</t>
  </si>
  <si>
    <t>40505925</t>
  </si>
  <si>
    <t>YORLENE  DAZA CORONEL</t>
  </si>
  <si>
    <t>Correo cliente</t>
  </si>
  <si>
    <t>Correo vendedor</t>
  </si>
  <si>
    <t>Cupo</t>
  </si>
  <si>
    <t>Nombre</t>
  </si>
  <si>
    <t>ALIMENTOS GOURMET S.A.S</t>
  </si>
  <si>
    <t>CARLOS ANDRES MARTINEZ RAMIREZ</t>
  </si>
  <si>
    <t>ERRO CEDULA OSCAR ESPINOSA GONZALES</t>
  </si>
  <si>
    <t>ERROR DATOSCOLCIM SAS</t>
  </si>
  <si>
    <t>ERROR IDENTIFICACION SANDRA CAROLINA TUNARROSA VELANDIA</t>
  </si>
  <si>
    <t>ERROR NIT</t>
  </si>
  <si>
    <t>ERROR NIT RSINGENIERIA DE DESAROLLO DE PROYECTOS</t>
  </si>
  <si>
    <t>ERROR NUMERO DE IDENTIDAD</t>
  </si>
  <si>
    <t>EYVAR FELIPE NIÑO ROCHA</t>
  </si>
  <si>
    <t>HUGO HERNANDO BENITO RODRIGUEZ</t>
  </si>
  <si>
    <t>JAIRO IGNACIO BOLAÑOS</t>
  </si>
  <si>
    <t>JEFFERSON HERNANDEZ VARGAS</t>
  </si>
  <si>
    <t>JOHN JAIRO ARIAS</t>
  </si>
  <si>
    <t>JOSE ALEXANDER PAVAS LADINO</t>
  </si>
  <si>
    <t>LA ESPERANZA INDUSTRIAL DE ALIMENTOS LTDA</t>
  </si>
  <si>
    <t>LINA GOMEZ</t>
  </si>
  <si>
    <t>MEXICAN FOOD INDUSTRY SAS</t>
  </si>
  <si>
    <t>PRODUCTOS TOLIMENSES LA RICA S.A.S</t>
  </si>
  <si>
    <t>RICARDO  CAMARGO</t>
  </si>
  <si>
    <t>ZUTLENY  CANO PULIDO</t>
  </si>
  <si>
    <t xml:space="preserve"> INGENIERIA SAS</t>
  </si>
  <si>
    <t xml:space="preserve"> JAIRO NICODEMUS DIAZ ARAGON</t>
  </si>
  <si>
    <t>AGROPUCUARIA JR BRASILIA S.A.S</t>
  </si>
  <si>
    <t>AGRPECUARIA GOLOSO DEL VALLE SAS</t>
  </si>
  <si>
    <t>ALIOLI S.A.S</t>
  </si>
  <si>
    <t>AMEZQUITA VARGAS OMAR</t>
  </si>
  <si>
    <t>ANA MARIA DANGOND</t>
  </si>
  <si>
    <t>ANA MARIA FRANCO</t>
  </si>
  <si>
    <t>ANDRES FELIPE BENITEZ RODRIGUEZ</t>
  </si>
  <si>
    <t>ANGELA PATRICIA SALINAS CORREDOR</t>
  </si>
  <si>
    <t>ANGIE TATIANA ESPITIA</t>
  </si>
  <si>
    <t>ARES TIENDAS SAS</t>
  </si>
  <si>
    <t>ARISTIZABAL GUAVITA ARLEY</t>
  </si>
  <si>
    <t>ARTURO  ROJAS</t>
  </si>
  <si>
    <t>ASOCIACION DE RECICLADORES CON CANITAS DE VILLAVICENCIO</t>
  </si>
  <si>
    <t>BELLA MARIA BATA AROCA</t>
  </si>
  <si>
    <t>C.P SUPREMO S.A.S</t>
  </si>
  <si>
    <t>CAMILO  CAMARGO BONILLA</t>
  </si>
  <si>
    <t>CANAL DIGITAL CARNERSHOR</t>
  </si>
  <si>
    <t>CARLOS FERNANDO BOTERO ORTEGON</t>
  </si>
  <si>
    <t>CAROLINA  RENTERIA</t>
  </si>
  <si>
    <t>CASA HERENCIA SAS</t>
  </si>
  <si>
    <t>COMAPIS S.A.S</t>
  </si>
  <si>
    <t>COMERCIALIZADORA BECOR S.A</t>
  </si>
  <si>
    <t>COMERCIALIZADORA MT Y CIA S.A.</t>
  </si>
  <si>
    <t>COMERCIALIZARADORA EBEN PLAST SAS</t>
  </si>
  <si>
    <t>COMPAÑIA DE ALIMENTOS BIFF SAS</t>
  </si>
  <si>
    <t>continental de limpieza sas</t>
  </si>
  <si>
    <t>CONTROL GREEN SYSTEM SAS</t>
  </si>
  <si>
    <t>creado con CC. CRISTIAN MANUEL BELTRAN</t>
  </si>
  <si>
    <t>CRISTIAN MARTINEZ BERRIO</t>
  </si>
  <si>
    <t>DAVID  RAGON</t>
  </si>
  <si>
    <t>DAVID  RESTAURANTE</t>
  </si>
  <si>
    <t>DAVID ALEJANDRO LOZANO</t>
  </si>
  <si>
    <t>DAVID AUGUSTO CIFUENTES</t>
  </si>
  <si>
    <t>DIANA CAROLINA CHACON LUNA</t>
  </si>
  <si>
    <t>DIANA CAROLINA MONTANA BERNAL</t>
  </si>
  <si>
    <t>DIEGO  CARRANZA</t>
  </si>
  <si>
    <t>DISTRIBUCIONES CHIRSTIAN S A S</t>
  </si>
  <si>
    <t>DON POLLO SAS</t>
  </si>
  <si>
    <t>EDWIN FABIAN CARDONA QUIROGA</t>
  </si>
  <si>
    <t>EL PROVEEDOR LM S.A.S</t>
  </si>
  <si>
    <t>ELICEO  RODRIGUEZ</t>
  </si>
  <si>
    <t>ELIEZER JULIO SOLIPAS POSADA</t>
  </si>
  <si>
    <t>ELIZABETH MERCEDES RODRIGUEZ MARTINEZ</t>
  </si>
  <si>
    <t>ERIKA LORENA SOSA</t>
  </si>
  <si>
    <t>ERROR CEDULA JAIRO NICODEMUS DIAZ ARAGON</t>
  </si>
  <si>
    <t>ERROR NIT JULIAN ADOLFO VAZQUEZ</t>
  </si>
  <si>
    <t>ERROR NIT LEONILA  OCORO VIAFARA</t>
  </si>
  <si>
    <t>ESTRATEGIAS Y FINANZAS PATRIMONIALES SAS</t>
  </si>
  <si>
    <t>EVLOGIA SAS</t>
  </si>
  <si>
    <t>EYDER  RUIZ</t>
  </si>
  <si>
    <t>FACTOR HUMANO OUTSOURSING S A S</t>
  </si>
  <si>
    <t>FOOD FANS SAS</t>
  </si>
  <si>
    <t>FREDY ALFONSO SUAREZ VILLAMIL/CLIENTE CON CEDULA</t>
  </si>
  <si>
    <t>FUNDACION NIÑO CONSENTIDO</t>
  </si>
  <si>
    <t>GABRIEL JAIME CIFUENTES GUEVARA</t>
  </si>
  <si>
    <t>GLADIMIR  HERNANDEZ ORTIZ</t>
  </si>
  <si>
    <t>GRUPO EMPRESARIAL CALIDAD S.A.S</t>
  </si>
  <si>
    <t>GRUPO HDO CONECTA SAS</t>
  </si>
  <si>
    <t>GRUPO INMOBILIARIO SAIP</t>
  </si>
  <si>
    <t>GRUPO LOM S.A.S</t>
  </si>
  <si>
    <t>HERMES CARNES Y PARRILLA</t>
  </si>
  <si>
    <t>HERNANDO  DALLAS</t>
  </si>
  <si>
    <t>HOCOTEC + S.A.S</t>
  </si>
  <si>
    <t>I.P.T. S.A.S</t>
  </si>
  <si>
    <t>IN NATURA SAS</t>
  </si>
  <si>
    <t>INDUSTRIAS FLEXICAR SAS</t>
  </si>
  <si>
    <t>INVERSIONES POKERMANIA S A S</t>
  </si>
  <si>
    <t>JAIME  GARCIA</t>
  </si>
  <si>
    <t>JAIRO ARMENDO ORTIZ GAMBA</t>
  </si>
  <si>
    <t>JAVIER  MACANA</t>
  </si>
  <si>
    <t>JAVIER MACANA IBAÑEZ</t>
  </si>
  <si>
    <t>JESUS ALBEIRO ROLON BASTON</t>
  </si>
  <si>
    <t>JHAN ARMANDO HASTAMORIR GONZALES</t>
  </si>
  <si>
    <t>JHON FREDY MENESES CORTES</t>
  </si>
  <si>
    <t>JHON JAIRO ARIAS</t>
  </si>
  <si>
    <t>JONATHAN ANDRES DIAZ</t>
  </si>
  <si>
    <t>JONATHAN STEVEN PIRACON</t>
  </si>
  <si>
    <t>JORGE ENRIQUE HERRERA</t>
  </si>
  <si>
    <t>JOSE ALEXANDER RINCON CAPERA</t>
  </si>
  <si>
    <t>JOSE GABRIEL FRANCO ESPITIA</t>
  </si>
  <si>
    <t>JOSE MAURICIO CASTIBLANCO RUIZ</t>
  </si>
  <si>
    <t>JUAN  ASADERO</t>
  </si>
  <si>
    <t>JUAN DAVID FAJARDO RODRIGUEZ</t>
  </si>
  <si>
    <t>JUAN DAVID HERNANDEZ MARTINEZ</t>
  </si>
  <si>
    <t>LA ESPECIAL DEL TOLIMA Y COMPAÑIA SAS</t>
  </si>
  <si>
    <t>LA PORCHETTA M Y M</t>
  </si>
  <si>
    <t>Las  Flores</t>
  </si>
  <si>
    <t>LEGRO DE ROMERO ANGELA CAROLINA</t>
  </si>
  <si>
    <t>LIDA INES HERNANDEZ ESCARRAGA</t>
  </si>
  <si>
    <t>LM S.A.S</t>
  </si>
  <si>
    <t>LOM AGRO S.A.S</t>
  </si>
  <si>
    <t>LUIS FERNANDO OSPINA CHIDIAK</t>
  </si>
  <si>
    <t>LUZ ELENA RAMIREZ ZAPATA</t>
  </si>
  <si>
    <t>MAJADA S.A.S</t>
  </si>
  <si>
    <t>MANUEL  DELCEY</t>
  </si>
  <si>
    <t>MARCO  PARRA</t>
  </si>
  <si>
    <t>MARIA HELENA</t>
  </si>
  <si>
    <t>MARIA MELO GARCIA</t>
  </si>
  <si>
    <t>MARTHA  LONDOÑO</t>
  </si>
  <si>
    <t>MARTHA PATRICIA PEREZ TRUJILLO</t>
  </si>
  <si>
    <t>MAURICIO  SARMIENTO</t>
  </si>
  <si>
    <t>MECANIZADOS Y AISITENCIACNC SAS</t>
  </si>
  <si>
    <t>NARCISO SUAREZ BALLESTEROS</t>
  </si>
  <si>
    <t>NATHALY  SAAVEDRA GONZALEZ</t>
  </si>
  <si>
    <t>NELSON ALBARRACIN</t>
  </si>
  <si>
    <t>NICOLAS DANIEL MONCADA LEON</t>
  </si>
  <si>
    <t>OLGA LUCIA GOMEZ</t>
  </si>
  <si>
    <t>OLIVERO  SOTELO</t>
  </si>
  <si>
    <t>OMAR JAVIER MATEUS GOMEZ</t>
  </si>
  <si>
    <t>PADDOCKER SAS</t>
  </si>
  <si>
    <t>PEDRO ANTONIO GAONA TORRES</t>
  </si>
  <si>
    <t>PEDRO NEL GONZALEZ</t>
  </si>
  <si>
    <t>PORCICAMPO SAS</t>
  </si>
  <si>
    <t>PRODUCTOS CARNICOS EL GRAN NOVILLO</t>
  </si>
  <si>
    <t>PUNTO CL 134</t>
  </si>
  <si>
    <t>PUNTO LAS FLORES</t>
  </si>
  <si>
    <t>RESTAURANTE PEZ &amp; PARRILLA NO USAR</t>
  </si>
  <si>
    <t>RICHARD ORLANDO URBANO FLOREZ</t>
  </si>
  <si>
    <t>ROBINZON  RODRIGUEZ</t>
  </si>
  <si>
    <t>RODRIGO ALBARRACIN NIÑO</t>
  </si>
  <si>
    <t>ROSALBA PINILLA COCA</t>
  </si>
  <si>
    <t>ROSSEMBERG RAMIRO BARRAGAN ACUÑA</t>
  </si>
  <si>
    <t>RUBIELA CATRINA</t>
  </si>
  <si>
    <t>SANDRO  OVIEDO</t>
  </si>
  <si>
    <t>SANTILLANA DE SEGURIDADVIGILANCIA PRIVADA LTDA</t>
  </si>
  <si>
    <t>SOLER  VIVIANA</t>
  </si>
  <si>
    <t>SURTICARNES VALERO SAS</t>
  </si>
  <si>
    <t>TODO HIERROS SAS</t>
  </si>
  <si>
    <t>VALENTINA  BARON MONTOYA</t>
  </si>
  <si>
    <t>VELASQUEZ REYES FREDY</t>
  </si>
  <si>
    <t>WALTER RAFAEL GARCIA BONILLA</t>
  </si>
  <si>
    <t>WILMER ALEXANDER VALERO DELGADILLO</t>
  </si>
  <si>
    <t>WORLD VISION COMPANYS SAS</t>
  </si>
  <si>
    <t>YENI VIVIANA SANCHEZ VENEGAS</t>
  </si>
  <si>
    <t>YERALDIN  ALVAREZ MANRIQUE</t>
  </si>
  <si>
    <t>YINET GONZALEZ ARCILA</t>
  </si>
  <si>
    <t>YONNY JAMINTON ZAMORA REYES</t>
  </si>
  <si>
    <t>YOVANI  GIRALDO CASTRO</t>
  </si>
  <si>
    <t>YUDY MABEL GONZALEZ</t>
  </si>
  <si>
    <t>yury natalia salgado mora</t>
  </si>
  <si>
    <t>cupo</t>
  </si>
  <si>
    <t>Columna1</t>
  </si>
  <si>
    <t>TAKAMI SA</t>
  </si>
  <si>
    <t>Sebastian Eslava</t>
  </si>
  <si>
    <t>analistacompras@sarupetrol.com</t>
  </si>
  <si>
    <t>cg629271@gmail.com</t>
  </si>
  <si>
    <t>j.gutierrez@grupolom.com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</si>
</sst>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sz val="9"/>
      <color rgb="FFFF0000"/>
      <name val="Arial"/>
      <family val="2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1" applyNumberFormat="1" applyFont="1"/>
    <xf numFmtId="49" fontId="2" fillId="0" borderId="0" xfId="0" applyNumberFormat="1" applyFont="1"/>
    <xf numFmtId="4" fontId="2" fillId="0" borderId="0" xfId="0" applyNumberFormat="1" applyFont="1"/>
    <xf numFmtId="0" fontId="4" fillId="3" borderId="2" xfId="0" applyFont="1" applyFill="1" applyBorder="1"/>
    <xf numFmtId="0" fontId="0" fillId="0" borderId="2" xfId="0" applyBorder="1"/>
    <xf numFmtId="0" fontId="0" fillId="0" borderId="5" xfId="0" applyBorder="1"/>
    <xf numFmtId="0" fontId="4" fillId="3" borderId="1" xfId="0" applyFont="1" applyFill="1" applyBorder="1"/>
    <xf numFmtId="0" fontId="0" fillId="0" borderId="1" xfId="0" applyBorder="1"/>
    <xf numFmtId="0" fontId="0" fillId="4" borderId="2" xfId="0" applyFill="1" applyBorder="1"/>
    <xf numFmtId="0" fontId="0" fillId="0" borderId="4" xfId="0" applyBorder="1"/>
    <xf numFmtId="0" fontId="4" fillId="3" borderId="3" xfId="0" applyFont="1" applyFill="1" applyBorder="1"/>
    <xf numFmtId="0" fontId="0" fillId="0" borderId="3" xfId="0" applyBorder="1"/>
    <xf numFmtId="44" fontId="0" fillId="0" borderId="3" xfId="2" applyFont="1" applyBorder="1"/>
    <xf numFmtId="44" fontId="0" fillId="0" borderId="6" xfId="2" applyFont="1" applyBorder="1"/>
    <xf numFmtId="0" fontId="5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gut\Downloads\Solicitud%20contactos%20LOM%20(1).xlsx" TargetMode="External"/><Relationship Id="rId1" Type="http://schemas.openxmlformats.org/officeDocument/2006/relationships/externalLinkPath" Target="file:///C:\Users\jsgut\Downloads\Solicitud%20contactos%20LO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os Contacto"/>
    </sheetNames>
    <sheetDataSet>
      <sheetData sheetId="0">
        <row r="2">
          <cell r="A2" t="str">
            <v>CAJA COLOMBIANA DE SUBSIDIO FAMILIAR COLSUBSIDIO</v>
          </cell>
          <cell r="E2" t="str">
            <v>servicioalcliente@colsubsidio.com</v>
          </cell>
        </row>
        <row r="3">
          <cell r="A3" t="str">
            <v>ABEL Y SOFIA SAS</v>
          </cell>
          <cell r="E3" t="str">
            <v>asistentetesoreria3@grupogordo.net</v>
          </cell>
        </row>
        <row r="4">
          <cell r="A4" t="str">
            <v>INVERSIONES GANADERIA SANTAMARIA SAS</v>
          </cell>
          <cell r="E4" t="str">
            <v>admon@inversionessantamaria.co</v>
          </cell>
        </row>
        <row r="5">
          <cell r="A5" t="str">
            <v>INVERSIONES EL CARNAL SAS</v>
          </cell>
          <cell r="E5" t="str">
            <v>facturacion2@elcarnal.com.co</v>
          </cell>
        </row>
        <row r="6">
          <cell r="A6" t="str">
            <v>TAKAMI SA</v>
          </cell>
          <cell r="E6" t="str">
            <v>factura.foodgroup@takami.co</v>
          </cell>
        </row>
        <row r="7">
          <cell r="A7" t="str">
            <v>GATE GOURMET COLOMBIA SAS</v>
          </cell>
          <cell r="E7" t="str">
            <v>fatrecggbog1@gategroup.com</v>
          </cell>
        </row>
        <row r="8">
          <cell r="A8" t="str">
            <v>COMERCIALIZADORA PINER SAS</v>
          </cell>
          <cell r="E8" t="str">
            <v>contabilidad@piner.co</v>
          </cell>
        </row>
        <row r="9">
          <cell r="A9" t="str">
            <v>PPC SA</v>
          </cell>
          <cell r="E9" t="str">
            <v>facturacionplanta@ppc.com.co</v>
          </cell>
        </row>
        <row r="10">
          <cell r="A10" t="str">
            <v>MERKMIOS SAS</v>
          </cell>
          <cell r="E10" t="str">
            <v>siesaferecepcion@siesa.com</v>
          </cell>
        </row>
        <row r="11">
          <cell r="A11" t="str">
            <v>SIA SAS</v>
          </cell>
          <cell r="E11" t="str">
            <v>facturacion@topgourmet.net</v>
          </cell>
        </row>
        <row r="12">
          <cell r="A12" t="str">
            <v>ROBINFOOD COLOMBIA SAS</v>
          </cell>
          <cell r="E12" t="str">
            <v>facturacion@robinfood.com</v>
          </cell>
        </row>
        <row r="13">
          <cell r="A13" t="str">
            <v>SIPOTE BURRITO S.A</v>
          </cell>
          <cell r="E13" t="str">
            <v>factura.foodgroup@takami.co</v>
          </cell>
        </row>
        <row r="14">
          <cell r="A14" t="str">
            <v>CANTINA LA 15 SAS</v>
          </cell>
          <cell r="E14" t="str">
            <v>facturacion@cantinala15.com.co</v>
          </cell>
        </row>
        <row r="15">
          <cell r="A15" t="str">
            <v>CUISINART SAS</v>
          </cell>
          <cell r="E15" t="str">
            <v>contabilidad@cuisinartcol.com</v>
          </cell>
        </row>
        <row r="16">
          <cell r="A16" t="str">
            <v>LAO KAO SAS</v>
          </cell>
          <cell r="E16" t="str">
            <v>facturacionelectronica@wok.com.co</v>
          </cell>
        </row>
        <row r="17">
          <cell r="A17" t="str">
            <v>DUFLO SERVICIOS INTEGRALES S.A.S.</v>
          </cell>
          <cell r="E17" t="str">
            <v>recepcionfacturas@duflosas.com</v>
          </cell>
        </row>
        <row r="18">
          <cell r="A18" t="str">
            <v>SARUPETROL SAS</v>
          </cell>
          <cell r="E18" t="str">
            <v>analistacompras@sarupetrol.com</v>
          </cell>
        </row>
        <row r="19">
          <cell r="A19" t="str">
            <v>ALIMENTOS BENAL S A S - EN REORGANIZACIÓN</v>
          </cell>
          <cell r="E19" t="str">
            <v>contabilidad@alimentosbenal.com</v>
          </cell>
        </row>
        <row r="20">
          <cell r="A20" t="str">
            <v>GRUPO ARTAK S.A.S</v>
          </cell>
          <cell r="E20" t="str">
            <v>factura.foodgroup@takami.co</v>
          </cell>
        </row>
        <row r="21">
          <cell r="A21" t="str">
            <v>INVERSIONES Y SOLUCIONES DE TRADICION SAS</v>
          </cell>
          <cell r="E21" t="str">
            <v>contabilidad.santopiquete@gmail.com</v>
          </cell>
        </row>
        <row r="22">
          <cell r="A22" t="str">
            <v>LOS HORNITOS PASTELERIA Y PANADERIA SAS</v>
          </cell>
          <cell r="E22" t="str">
            <v>facturaelectronica@hornitos.co</v>
          </cell>
        </row>
        <row r="23">
          <cell r="A23" t="str">
            <v>INDUCOLCARNES S.A.S</v>
          </cell>
          <cell r="E23" t="str">
            <v>fep@inducolcarnes.com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A460C-0BC1-42E1-BCC4-6F60C2B3D1FA}" name="Tabla3" displayName="Tabla3" ref="A1:I953" totalsRowShown="0" headerRowDxfId="10" dataDxfId="9">
  <autoFilter ref="A1:I953" xr:uid="{333A460C-0BC1-42E1-BCC4-6F60C2B3D1FA}"/>
  <tableColumns count="9">
    <tableColumn id="1" xr3:uid="{175B7465-95BE-4B6B-97D4-E94EEFA6F6A2}" name="Nit" dataDxfId="8"/>
    <tableColumn id="2" xr3:uid="{A44C7EF1-A502-41EA-831E-A80377AC3421}" name="Cliente" dataDxfId="7"/>
    <tableColumn id="3" xr3:uid="{248CC1F8-3007-4847-9CE0-4179583BB2D2}" name="Nombre comercial" dataDxfId="6"/>
    <tableColumn id="7" xr3:uid="{DEA63F2B-4EB7-46C8-A213-484BCE31D691}" name="Correo cliente" dataDxfId="5" dataCellStyle="Hipervínculo"/>
    <tableColumn id="4" xr3:uid="{5FE3EADB-C31A-4DD2-B1F6-0C26C99FC471}" name="Vendedor" dataDxfId="4"/>
    <tableColumn id="6" xr3:uid="{D83AC5B3-3986-4E36-A90C-82FFA2540495}" name="Correo vendedor" dataDxfId="0"/>
    <tableColumn id="5" xr3:uid="{D788182D-838C-426E-8126-8101C41C673A}" name="Canal" dataDxfId="3"/>
    <tableColumn id="8" xr3:uid="{4ED3E71D-7E60-4E3B-A68A-56CECD4316E7}" name="Cupo" dataDxfId="2">
      <calculatedColumnFormula>_xlfn.XLOOKUP(Tabla3[[#This Row],[Nit]],Hoja2!A2:A1425,Hoja2!C2:C1425)</calculatedColumnFormula>
    </tableColumn>
    <tableColumn id="9" xr3:uid="{FAFADFD4-2EF9-494C-A781-827B22257EDD}" name="Columna1" dataDxfId="1">
      <calculatedColumnFormula>_xlfn.XLOOKUP(Tabla3[[#This Row],[Cliente]],'[1]Datos Contacto'!$A$2:$A$23,'[1]Datos Contacto'!$E$2:$E$23,0,0,1)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.eslava@grupolom.com" TargetMode="External"/><Relationship Id="rId1" Type="http://schemas.openxmlformats.org/officeDocument/2006/relationships/hyperlink" Target="mailto:a.silvestre@grupol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8C75-D72D-4C64-B353-149E45D92FC9}">
  <dimension ref="A1:I953"/>
  <sheetViews>
    <sheetView tabSelected="1" topLeftCell="C1" zoomScale="109" workbookViewId="0">
      <selection activeCell="F2" sqref="F2:F953"/>
    </sheetView>
  </sheetViews>
  <sheetFormatPr baseColWidth="10" defaultRowHeight="15" x14ac:dyDescent="0.25"/>
  <cols>
    <col min="1" max="1" width="11.140625" bestFit="1" customWidth="1"/>
    <col min="2" max="2" width="67.5703125" bestFit="1" customWidth="1"/>
    <col min="3" max="3" width="25.85546875" bestFit="1" customWidth="1"/>
    <col min="4" max="4" width="35.85546875" customWidth="1"/>
    <col min="5" max="5" width="23.85546875" bestFit="1" customWidth="1"/>
    <col min="6" max="6" width="23.85546875" customWidth="1"/>
    <col min="7" max="7" width="11" bestFit="1" customWidth="1"/>
    <col min="8" max="8" width="23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1054</v>
      </c>
      <c r="E1" s="1" t="s">
        <v>3</v>
      </c>
      <c r="F1" s="1" t="s">
        <v>1055</v>
      </c>
      <c r="G1" s="1" t="s">
        <v>4</v>
      </c>
      <c r="H1" s="1" t="s">
        <v>1056</v>
      </c>
      <c r="I1" s="1" t="s">
        <v>1221</v>
      </c>
    </row>
    <row r="2" spans="1:9" x14ac:dyDescent="0.25">
      <c r="A2" s="1">
        <v>900993503</v>
      </c>
      <c r="B2" s="1" t="s">
        <v>5</v>
      </c>
      <c r="C2" s="1"/>
      <c r="D2" s="21" t="s">
        <v>1225</v>
      </c>
      <c r="E2" s="1" t="s">
        <v>6</v>
      </c>
      <c r="F2" s="1" t="s">
        <v>1226</v>
      </c>
      <c r="G2" s="1" t="s">
        <v>7</v>
      </c>
      <c r="H2" s="9">
        <f>_xlfn.XLOOKUP(Tabla3[[#This Row],[Nit]],Hoja2!A2:A1425,Hoja2!C2:C1425)</f>
        <v>3000000</v>
      </c>
      <c r="I2" s="1">
        <f>_xlfn.XLOOKUP(Tabla3[[#This Row],[Cliente]],'[1]Datos Contacto'!$A$2:$A$23,'[1]Datos Contacto'!$E$2:$E$23,0,0,1)</f>
        <v>0</v>
      </c>
    </row>
    <row r="3" spans="1:9" x14ac:dyDescent="0.25">
      <c r="A3" s="1">
        <v>900539052</v>
      </c>
      <c r="B3" s="1" t="s">
        <v>8</v>
      </c>
      <c r="C3" s="1"/>
      <c r="D3" s="21" t="s">
        <v>1225</v>
      </c>
      <c r="E3" s="1" t="s">
        <v>9</v>
      </c>
      <c r="F3" s="1" t="s">
        <v>1226</v>
      </c>
      <c r="G3" s="1" t="s">
        <v>7</v>
      </c>
      <c r="H3" s="9">
        <f>_xlfn.XLOOKUP(Tabla3[[#This Row],[Nit]],Hoja2!A3:A1426,Hoja2!C3:C1426)</f>
        <v>150000000</v>
      </c>
      <c r="I3" s="1" t="str">
        <f>_xlfn.XLOOKUP(Tabla3[[#This Row],[Cliente]],'[1]Datos Contacto'!$A$2:$A$23,'[1]Datos Contacto'!$E$2:$E$23,0,0,1)</f>
        <v>asistentetesoreria3@grupogordo.net</v>
      </c>
    </row>
    <row r="4" spans="1:9" x14ac:dyDescent="0.25">
      <c r="A4" s="1">
        <v>901017839</v>
      </c>
      <c r="B4" s="1" t="s">
        <v>10</v>
      </c>
      <c r="C4" s="1"/>
      <c r="D4" s="21" t="s">
        <v>1225</v>
      </c>
      <c r="E4" s="1" t="s">
        <v>6</v>
      </c>
      <c r="F4" s="1" t="s">
        <v>1226</v>
      </c>
      <c r="G4" s="1" t="s">
        <v>11</v>
      </c>
      <c r="H4" s="9">
        <f>_xlfn.XLOOKUP(Tabla3[[#This Row],[Nit]],Hoja2!A4:A1427,Hoja2!C4:C1427)</f>
        <v>1000000</v>
      </c>
      <c r="I4" s="1">
        <f>_xlfn.XLOOKUP(Tabla3[[#This Row],[Cliente]],'[1]Datos Contacto'!$A$2:$A$23,'[1]Datos Contacto'!$E$2:$E$23,0,0,1)</f>
        <v>0</v>
      </c>
    </row>
    <row r="5" spans="1:9" x14ac:dyDescent="0.25">
      <c r="A5" s="1">
        <v>79643388</v>
      </c>
      <c r="B5" s="1" t="s">
        <v>12</v>
      </c>
      <c r="C5" s="1"/>
      <c r="D5" s="21" t="s">
        <v>1225</v>
      </c>
      <c r="E5" s="1" t="s">
        <v>9</v>
      </c>
      <c r="F5" s="1" t="s">
        <v>1226</v>
      </c>
      <c r="G5" s="1" t="s">
        <v>11</v>
      </c>
      <c r="H5" s="9">
        <f>_xlfn.XLOOKUP(Tabla3[[#This Row],[Nit]],Hoja2!A5:A1428,Hoja2!C5:C1428)</f>
        <v>2000000</v>
      </c>
      <c r="I5" s="1">
        <f>_xlfn.XLOOKUP(Tabla3[[#This Row],[Cliente]],'[1]Datos Contacto'!$A$2:$A$23,'[1]Datos Contacto'!$E$2:$E$23,0,0,1)</f>
        <v>0</v>
      </c>
    </row>
    <row r="6" spans="1:9" x14ac:dyDescent="0.25">
      <c r="A6" s="1">
        <v>52074253</v>
      </c>
      <c r="B6" s="1" t="s">
        <v>13</v>
      </c>
      <c r="C6" s="1"/>
      <c r="D6" s="21" t="s">
        <v>1225</v>
      </c>
      <c r="E6" s="1" t="s">
        <v>6</v>
      </c>
      <c r="F6" s="1" t="s">
        <v>1226</v>
      </c>
      <c r="G6" s="1" t="s">
        <v>7</v>
      </c>
      <c r="H6" s="9">
        <f>_xlfn.XLOOKUP(Tabla3[[#This Row],[Nit]],Hoja2!A6:A1429,Hoja2!C6:C1429)</f>
        <v>4000000</v>
      </c>
      <c r="I6" s="1">
        <f>_xlfn.XLOOKUP(Tabla3[[#This Row],[Cliente]],'[1]Datos Contacto'!$A$2:$A$23,'[1]Datos Contacto'!$E$2:$E$23,0,0,1)</f>
        <v>0</v>
      </c>
    </row>
    <row r="7" spans="1:9" x14ac:dyDescent="0.25">
      <c r="A7" s="1">
        <v>1018454730</v>
      </c>
      <c r="B7" s="1" t="s">
        <v>14</v>
      </c>
      <c r="C7" s="1"/>
      <c r="D7" s="21" t="s">
        <v>1225</v>
      </c>
      <c r="E7" s="1" t="s">
        <v>9</v>
      </c>
      <c r="F7" s="1" t="s">
        <v>1226</v>
      </c>
      <c r="G7" s="1" t="s">
        <v>15</v>
      </c>
      <c r="H7" s="9">
        <f>_xlfn.XLOOKUP(Tabla3[[#This Row],[Nit]],Hoja2!A7:A1430,Hoja2!C7:C1430)</f>
        <v>1000000</v>
      </c>
      <c r="I7" s="1">
        <f>_xlfn.XLOOKUP(Tabla3[[#This Row],[Cliente]],'[1]Datos Contacto'!$A$2:$A$23,'[1]Datos Contacto'!$E$2:$E$23,0,0,1)</f>
        <v>0</v>
      </c>
    </row>
    <row r="8" spans="1:9" x14ac:dyDescent="0.25">
      <c r="A8" s="1">
        <v>830059718</v>
      </c>
      <c r="B8" s="1" t="s">
        <v>16</v>
      </c>
      <c r="C8" s="1"/>
      <c r="D8" s="21" t="s">
        <v>1225</v>
      </c>
      <c r="E8" s="1" t="s">
        <v>9</v>
      </c>
      <c r="F8" s="1" t="s">
        <v>1226</v>
      </c>
      <c r="G8" s="1" t="s">
        <v>7</v>
      </c>
      <c r="H8" s="9">
        <f>_xlfn.XLOOKUP(Tabla3[[#This Row],[Nit]],Hoja2!A8:A1431,Hoja2!C8:C1431)</f>
        <v>1000000</v>
      </c>
      <c r="I8" s="1">
        <f>_xlfn.XLOOKUP(Tabla3[[#This Row],[Cliente]],'[1]Datos Contacto'!$A$2:$A$23,'[1]Datos Contacto'!$E$2:$E$23,0,0,1)</f>
        <v>0</v>
      </c>
    </row>
    <row r="9" spans="1:9" x14ac:dyDescent="0.25">
      <c r="A9" s="1">
        <v>83056853</v>
      </c>
      <c r="B9" s="1" t="s">
        <v>17</v>
      </c>
      <c r="C9" s="1"/>
      <c r="D9" s="21" t="s">
        <v>1225</v>
      </c>
      <c r="E9" s="1" t="s">
        <v>9</v>
      </c>
      <c r="F9" s="1" t="s">
        <v>1226</v>
      </c>
      <c r="G9" s="1" t="s">
        <v>11</v>
      </c>
      <c r="H9" s="9">
        <f>_xlfn.XLOOKUP(Tabla3[[#This Row],[Nit]],Hoja2!A9:A1432,Hoja2!C9:C1432)</f>
        <v>2000000</v>
      </c>
      <c r="I9" s="1">
        <f>_xlfn.XLOOKUP(Tabla3[[#This Row],[Cliente]],'[1]Datos Contacto'!$A$2:$A$23,'[1]Datos Contacto'!$E$2:$E$23,0,0,1)</f>
        <v>0</v>
      </c>
    </row>
    <row r="10" spans="1:9" x14ac:dyDescent="0.25">
      <c r="A10" s="1">
        <v>900527483</v>
      </c>
      <c r="B10" s="1" t="s">
        <v>18</v>
      </c>
      <c r="C10" s="1"/>
      <c r="D10" s="21" t="s">
        <v>1225</v>
      </c>
      <c r="E10" s="1" t="s">
        <v>9</v>
      </c>
      <c r="F10" s="1" t="s">
        <v>1226</v>
      </c>
      <c r="G10" s="1" t="s">
        <v>11</v>
      </c>
      <c r="H10" s="9">
        <f>_xlfn.XLOOKUP(Tabla3[[#This Row],[Nit]],Hoja2!A10:A1433,Hoja2!C10:C1433)</f>
        <v>1000000</v>
      </c>
      <c r="I10" s="1">
        <f>_xlfn.XLOOKUP(Tabla3[[#This Row],[Cliente]],'[1]Datos Contacto'!$A$2:$A$23,'[1]Datos Contacto'!$E$2:$E$23,0,0,1)</f>
        <v>0</v>
      </c>
    </row>
    <row r="11" spans="1:9" x14ac:dyDescent="0.25">
      <c r="A11" s="1">
        <v>890207037</v>
      </c>
      <c r="B11" s="1" t="s">
        <v>19</v>
      </c>
      <c r="C11" s="1"/>
      <c r="D11" s="21" t="s">
        <v>1225</v>
      </c>
      <c r="E11" s="1" t="s">
        <v>9</v>
      </c>
      <c r="F11" s="1" t="s">
        <v>1226</v>
      </c>
      <c r="G11" s="1" t="s">
        <v>20</v>
      </c>
      <c r="H11" s="9">
        <f>_xlfn.XLOOKUP(Tabla3[[#This Row],[Nit]],Hoja2!A11:A1434,Hoja2!C11:C1434)</f>
        <v>1000000</v>
      </c>
      <c r="I11" s="1">
        <f>_xlfn.XLOOKUP(Tabla3[[#This Row],[Cliente]],'[1]Datos Contacto'!$A$2:$A$23,'[1]Datos Contacto'!$E$2:$E$23,0,0,1)</f>
        <v>0</v>
      </c>
    </row>
    <row r="12" spans="1:9" x14ac:dyDescent="0.25">
      <c r="A12" s="1">
        <v>901746296</v>
      </c>
      <c r="B12" s="1" t="s">
        <v>21</v>
      </c>
      <c r="C12" s="1"/>
      <c r="D12" s="21" t="s">
        <v>1225</v>
      </c>
      <c r="E12" s="1" t="s">
        <v>9</v>
      </c>
      <c r="F12" s="1" t="s">
        <v>1226</v>
      </c>
      <c r="G12" s="1" t="s">
        <v>20</v>
      </c>
      <c r="H12" s="9">
        <f>_xlfn.XLOOKUP(Tabla3[[#This Row],[Nit]],Hoja2!A12:A1435,Hoja2!C12:C1435)</f>
        <v>1000000</v>
      </c>
      <c r="I12" s="1">
        <f>_xlfn.XLOOKUP(Tabla3[[#This Row],[Cliente]],'[1]Datos Contacto'!$A$2:$A$23,'[1]Datos Contacto'!$E$2:$E$23,0,0,1)</f>
        <v>0</v>
      </c>
    </row>
    <row r="13" spans="1:9" x14ac:dyDescent="0.25">
      <c r="A13" s="1">
        <v>901734623</v>
      </c>
      <c r="B13" s="1" t="s">
        <v>22</v>
      </c>
      <c r="C13" s="1"/>
      <c r="D13" s="21" t="s">
        <v>1225</v>
      </c>
      <c r="E13" s="1" t="s">
        <v>9</v>
      </c>
      <c r="F13" s="1" t="s">
        <v>1226</v>
      </c>
      <c r="G13" s="1" t="s">
        <v>7</v>
      </c>
      <c r="H13" s="9">
        <f>_xlfn.XLOOKUP(Tabla3[[#This Row],[Nit]],Hoja2!A13:A1436,Hoja2!C13:C1436)</f>
        <v>1000000</v>
      </c>
      <c r="I13" s="1">
        <f>_xlfn.XLOOKUP(Tabla3[[#This Row],[Cliente]],'[1]Datos Contacto'!$A$2:$A$23,'[1]Datos Contacto'!$E$2:$E$23,0,0,1)</f>
        <v>0</v>
      </c>
    </row>
    <row r="14" spans="1:9" x14ac:dyDescent="0.25">
      <c r="A14" s="1">
        <v>901075054</v>
      </c>
      <c r="B14" s="1" t="s">
        <v>23</v>
      </c>
      <c r="C14" s="1"/>
      <c r="D14" s="21" t="s">
        <v>1225</v>
      </c>
      <c r="E14" s="1" t="s">
        <v>9</v>
      </c>
      <c r="F14" s="1" t="s">
        <v>1226</v>
      </c>
      <c r="G14" s="1" t="s">
        <v>20</v>
      </c>
      <c r="H14" s="9">
        <f>_xlfn.XLOOKUP(Tabla3[[#This Row],[Nit]],Hoja2!A14:A1437,Hoja2!C14:C1437)</f>
        <v>1000000</v>
      </c>
      <c r="I14" s="1">
        <f>_xlfn.XLOOKUP(Tabla3[[#This Row],[Cliente]],'[1]Datos Contacto'!$A$2:$A$23,'[1]Datos Contacto'!$E$2:$E$23,0,0,1)</f>
        <v>0</v>
      </c>
    </row>
    <row r="15" spans="1:9" x14ac:dyDescent="0.25">
      <c r="A15" s="1">
        <v>52120283</v>
      </c>
      <c r="B15" s="1" t="s">
        <v>24</v>
      </c>
      <c r="C15" s="1"/>
      <c r="D15" s="21" t="s">
        <v>1225</v>
      </c>
      <c r="E15" s="1" t="s">
        <v>9</v>
      </c>
      <c r="F15" s="1" t="s">
        <v>1226</v>
      </c>
      <c r="G15" s="1" t="s">
        <v>11</v>
      </c>
      <c r="H15" s="9">
        <f>_xlfn.XLOOKUP(Tabla3[[#This Row],[Nit]],Hoja2!A15:A1438,Hoja2!C15:C1438)</f>
        <v>1000000</v>
      </c>
      <c r="I15" s="1">
        <f>_xlfn.XLOOKUP(Tabla3[[#This Row],[Cliente]],'[1]Datos Contacto'!$A$2:$A$23,'[1]Datos Contacto'!$E$2:$E$23,0,0,1)</f>
        <v>0</v>
      </c>
    </row>
    <row r="16" spans="1:9" x14ac:dyDescent="0.25">
      <c r="A16" s="1">
        <v>52962045</v>
      </c>
      <c r="B16" s="1" t="s">
        <v>25</v>
      </c>
      <c r="C16" s="1"/>
      <c r="D16" s="21" t="s">
        <v>1225</v>
      </c>
      <c r="E16" s="1" t="s">
        <v>9</v>
      </c>
      <c r="F16" s="1" t="s">
        <v>1226</v>
      </c>
      <c r="G16" s="1" t="s">
        <v>11</v>
      </c>
      <c r="H16" s="9">
        <f>_xlfn.XLOOKUP(Tabla3[[#This Row],[Nit]],Hoja2!A16:A1439,Hoja2!C16:C1439)</f>
        <v>1000000</v>
      </c>
      <c r="I16" s="1">
        <f>_xlfn.XLOOKUP(Tabla3[[#This Row],[Cliente]],'[1]Datos Contacto'!$A$2:$A$23,'[1]Datos Contacto'!$E$2:$E$23,0,0,1)</f>
        <v>0</v>
      </c>
    </row>
    <row r="17" spans="1:9" x14ac:dyDescent="0.25">
      <c r="A17" s="1">
        <v>382</v>
      </c>
      <c r="B17" s="1" t="s">
        <v>26</v>
      </c>
      <c r="C17" s="1"/>
      <c r="D17" s="21" t="s">
        <v>1225</v>
      </c>
      <c r="E17" s="1" t="s">
        <v>9</v>
      </c>
      <c r="F17" s="1" t="s">
        <v>1226</v>
      </c>
      <c r="G17" s="1" t="s">
        <v>11</v>
      </c>
      <c r="H17" s="9">
        <f>_xlfn.XLOOKUP(Tabla3[[#This Row],[Nit]],Hoja2!A17:A1440,Hoja2!C17:C1440)</f>
        <v>1000000</v>
      </c>
      <c r="I17" s="1">
        <f>_xlfn.XLOOKUP(Tabla3[[#This Row],[Cliente]],'[1]Datos Contacto'!$A$2:$A$23,'[1]Datos Contacto'!$E$2:$E$23,0,0,1)</f>
        <v>0</v>
      </c>
    </row>
    <row r="18" spans="1:9" x14ac:dyDescent="0.25">
      <c r="A18" s="1">
        <v>426</v>
      </c>
      <c r="B18" s="1" t="s">
        <v>27</v>
      </c>
      <c r="C18" s="1"/>
      <c r="D18" s="21" t="s">
        <v>1225</v>
      </c>
      <c r="E18" s="1" t="s">
        <v>9</v>
      </c>
      <c r="F18" s="1" t="s">
        <v>1226</v>
      </c>
      <c r="G18" s="1" t="s">
        <v>11</v>
      </c>
      <c r="H18" s="9">
        <f>_xlfn.XLOOKUP(Tabla3[[#This Row],[Nit]],Hoja2!A18:A1441,Hoja2!C18:C1441)</f>
        <v>1000000</v>
      </c>
      <c r="I18" s="1">
        <f>_xlfn.XLOOKUP(Tabla3[[#This Row],[Cliente]],'[1]Datos Contacto'!$A$2:$A$23,'[1]Datos Contacto'!$E$2:$E$23,0,0,1)</f>
        <v>0</v>
      </c>
    </row>
    <row r="19" spans="1:9" x14ac:dyDescent="0.25">
      <c r="A19" s="1">
        <v>145</v>
      </c>
      <c r="B19" s="1" t="s">
        <v>28</v>
      </c>
      <c r="C19" s="1"/>
      <c r="D19" s="21" t="s">
        <v>1225</v>
      </c>
      <c r="E19" s="1" t="s">
        <v>9</v>
      </c>
      <c r="F19" s="1" t="s">
        <v>1226</v>
      </c>
      <c r="G19" s="1" t="s">
        <v>11</v>
      </c>
      <c r="H19" s="9">
        <f>_xlfn.XLOOKUP(Tabla3[[#This Row],[Nit]],Hoja2!A19:A1442,Hoja2!C19:C1442)</f>
        <v>1000000</v>
      </c>
      <c r="I19" s="1">
        <f>_xlfn.XLOOKUP(Tabla3[[#This Row],[Cliente]],'[1]Datos Contacto'!$A$2:$A$23,'[1]Datos Contacto'!$E$2:$E$23,0,0,1)</f>
        <v>0</v>
      </c>
    </row>
    <row r="20" spans="1:9" x14ac:dyDescent="0.25">
      <c r="A20" s="1">
        <v>126</v>
      </c>
      <c r="B20" s="1" t="s">
        <v>29</v>
      </c>
      <c r="C20" s="1"/>
      <c r="D20" s="21" t="s">
        <v>1225</v>
      </c>
      <c r="E20" s="1" t="s">
        <v>9</v>
      </c>
      <c r="F20" s="1" t="s">
        <v>1226</v>
      </c>
      <c r="G20" s="1" t="s">
        <v>11</v>
      </c>
      <c r="H20" s="9">
        <f>_xlfn.XLOOKUP(Tabla3[[#This Row],[Nit]],Hoja2!A20:A1443,Hoja2!C20:C1443)</f>
        <v>1000000</v>
      </c>
      <c r="I20" s="1">
        <f>_xlfn.XLOOKUP(Tabla3[[#This Row],[Cliente]],'[1]Datos Contacto'!$A$2:$A$23,'[1]Datos Contacto'!$E$2:$E$23,0,0,1)</f>
        <v>0</v>
      </c>
    </row>
    <row r="21" spans="1:9" x14ac:dyDescent="0.25">
      <c r="A21" s="1">
        <v>123</v>
      </c>
      <c r="B21" s="1" t="s">
        <v>30</v>
      </c>
      <c r="C21" s="1"/>
      <c r="D21" s="21" t="s">
        <v>1225</v>
      </c>
      <c r="E21" s="1" t="s">
        <v>9</v>
      </c>
      <c r="F21" s="1" t="s">
        <v>1226</v>
      </c>
      <c r="G21" s="1" t="s">
        <v>11</v>
      </c>
      <c r="H21" s="9">
        <f>_xlfn.XLOOKUP(Tabla3[[#This Row],[Nit]],Hoja2!A21:A1444,Hoja2!C21:C1444)</f>
        <v>1000000</v>
      </c>
      <c r="I21" s="1">
        <f>_xlfn.XLOOKUP(Tabla3[[#This Row],[Cliente]],'[1]Datos Contacto'!$A$2:$A$23,'[1]Datos Contacto'!$E$2:$E$23,0,0,1)</f>
        <v>0</v>
      </c>
    </row>
    <row r="22" spans="1:9" x14ac:dyDescent="0.25">
      <c r="A22" s="1">
        <v>79275011</v>
      </c>
      <c r="B22" s="1" t="s">
        <v>31</v>
      </c>
      <c r="C22" s="1"/>
      <c r="D22" s="21" t="s">
        <v>1225</v>
      </c>
      <c r="E22" s="1" t="s">
        <v>9</v>
      </c>
      <c r="F22" s="1" t="s">
        <v>1226</v>
      </c>
      <c r="G22" s="1" t="s">
        <v>15</v>
      </c>
      <c r="H22" s="9">
        <f>_xlfn.XLOOKUP(Tabla3[[#This Row],[Nit]],Hoja2!A22:A1445,Hoja2!C22:C1445)</f>
        <v>1000000</v>
      </c>
      <c r="I22" s="1">
        <f>_xlfn.XLOOKUP(Tabla3[[#This Row],[Cliente]],'[1]Datos Contacto'!$A$2:$A$23,'[1]Datos Contacto'!$E$2:$E$23,0,0,1)</f>
        <v>0</v>
      </c>
    </row>
    <row r="23" spans="1:9" x14ac:dyDescent="0.25">
      <c r="A23" s="1">
        <v>900858868</v>
      </c>
      <c r="B23" s="1" t="s">
        <v>32</v>
      </c>
      <c r="C23" s="1"/>
      <c r="D23" s="21" t="s">
        <v>1225</v>
      </c>
      <c r="E23" s="1" t="s">
        <v>6</v>
      </c>
      <c r="F23" s="1" t="s">
        <v>1226</v>
      </c>
      <c r="G23" s="1" t="s">
        <v>7</v>
      </c>
      <c r="H23" s="9">
        <f>_xlfn.XLOOKUP(Tabla3[[#This Row],[Nit]],Hoja2!A23:A1446,Hoja2!C23:C1446)</f>
        <v>80000000</v>
      </c>
      <c r="I23" s="1">
        <f>_xlfn.XLOOKUP(Tabla3[[#This Row],[Cliente]],'[1]Datos Contacto'!$A$2:$A$23,'[1]Datos Contacto'!$E$2:$E$23,0,0,1)</f>
        <v>0</v>
      </c>
    </row>
    <row r="24" spans="1:9" x14ac:dyDescent="0.25">
      <c r="A24" s="1">
        <v>901806270</v>
      </c>
      <c r="B24" s="1" t="s">
        <v>33</v>
      </c>
      <c r="C24" s="1"/>
      <c r="D24" s="21" t="s">
        <v>1225</v>
      </c>
      <c r="E24" s="1" t="s">
        <v>9</v>
      </c>
      <c r="F24" s="1" t="s">
        <v>1226</v>
      </c>
      <c r="G24" s="1" t="s">
        <v>7</v>
      </c>
      <c r="H24" s="9">
        <f>_xlfn.XLOOKUP(Tabla3[[#This Row],[Nit]],Hoja2!A24:A1447,Hoja2!C24:C1447)</f>
        <v>3000000</v>
      </c>
      <c r="I24" s="1">
        <f>_xlfn.XLOOKUP(Tabla3[[#This Row],[Cliente]],'[1]Datos Contacto'!$A$2:$A$23,'[1]Datos Contacto'!$E$2:$E$23,0,0,1)</f>
        <v>0</v>
      </c>
    </row>
    <row r="25" spans="1:9" x14ac:dyDescent="0.25">
      <c r="A25" s="1">
        <v>890304130</v>
      </c>
      <c r="B25" s="1" t="s">
        <v>34</v>
      </c>
      <c r="C25" s="1"/>
      <c r="D25" s="21" t="s">
        <v>1225</v>
      </c>
      <c r="E25" s="1" t="s">
        <v>9</v>
      </c>
      <c r="F25" s="1" t="s">
        <v>1226</v>
      </c>
      <c r="G25" s="1" t="s">
        <v>11</v>
      </c>
      <c r="H25" s="9">
        <f>_xlfn.XLOOKUP(Tabla3[[#This Row],[Nit]],Hoja2!A25:A1448,Hoja2!C25:C1448)</f>
        <v>50000000</v>
      </c>
      <c r="I25" s="1">
        <f>_xlfn.XLOOKUP(Tabla3[[#This Row],[Cliente]],'[1]Datos Contacto'!$A$2:$A$23,'[1]Datos Contacto'!$E$2:$E$23,0,0,1)</f>
        <v>0</v>
      </c>
    </row>
    <row r="26" spans="1:9" x14ac:dyDescent="0.25">
      <c r="A26" s="1">
        <v>890103400</v>
      </c>
      <c r="B26" s="1" t="s">
        <v>35</v>
      </c>
      <c r="C26" s="1"/>
      <c r="D26" s="21" t="s">
        <v>1225</v>
      </c>
      <c r="E26" s="1" t="s">
        <v>9</v>
      </c>
      <c r="F26" s="1" t="s">
        <v>1226</v>
      </c>
      <c r="G26" s="1" t="s">
        <v>36</v>
      </c>
      <c r="H26" s="9">
        <f>_xlfn.XLOOKUP(Tabla3[[#This Row],[Nit]],Hoja2!A26:A1449,Hoja2!C26:C1449)</f>
        <v>1000000</v>
      </c>
      <c r="I26" s="1">
        <f>_xlfn.XLOOKUP(Tabla3[[#This Row],[Cliente]],'[1]Datos Contacto'!$A$2:$A$23,'[1]Datos Contacto'!$E$2:$E$23,0,0,1)</f>
        <v>0</v>
      </c>
    </row>
    <row r="27" spans="1:9" x14ac:dyDescent="0.25">
      <c r="A27" s="1">
        <v>901135506</v>
      </c>
      <c r="B27" s="1" t="s">
        <v>37</v>
      </c>
      <c r="C27" s="1"/>
      <c r="D27" s="21" t="s">
        <v>1225</v>
      </c>
      <c r="E27" s="1" t="s">
        <v>9</v>
      </c>
      <c r="F27" s="1" t="s">
        <v>1226</v>
      </c>
      <c r="G27" s="1" t="s">
        <v>20</v>
      </c>
      <c r="H27" s="9">
        <f>_xlfn.XLOOKUP(Tabla3[[#This Row],[Nit]],Hoja2!A27:A1450,Hoja2!C27:C1450)</f>
        <v>1000000</v>
      </c>
      <c r="I27" s="1">
        <f>_xlfn.XLOOKUP(Tabla3[[#This Row],[Cliente]],'[1]Datos Contacto'!$A$2:$A$23,'[1]Datos Contacto'!$E$2:$E$23,0,0,1)</f>
        <v>0</v>
      </c>
    </row>
    <row r="28" spans="1:9" x14ac:dyDescent="0.25">
      <c r="A28" s="1">
        <v>901104633</v>
      </c>
      <c r="B28" s="1" t="s">
        <v>38</v>
      </c>
      <c r="C28" s="1"/>
      <c r="D28" s="21" t="s">
        <v>1225</v>
      </c>
      <c r="E28" s="1" t="s">
        <v>9</v>
      </c>
      <c r="F28" s="1" t="s">
        <v>1226</v>
      </c>
      <c r="G28" s="1" t="s">
        <v>7</v>
      </c>
      <c r="H28" s="9">
        <f>_xlfn.XLOOKUP(Tabla3[[#This Row],[Nit]],Hoja2!A28:A1451,Hoja2!C28:C1451)</f>
        <v>1000000</v>
      </c>
      <c r="I28" s="1">
        <f>_xlfn.XLOOKUP(Tabla3[[#This Row],[Cliente]],'[1]Datos Contacto'!$A$2:$A$23,'[1]Datos Contacto'!$E$2:$E$23,0,0,1)</f>
        <v>0</v>
      </c>
    </row>
    <row r="29" spans="1:9" x14ac:dyDescent="0.25">
      <c r="A29" s="1">
        <v>1054374007</v>
      </c>
      <c r="B29" s="1" t="s">
        <v>39</v>
      </c>
      <c r="C29" s="1"/>
      <c r="D29" s="21" t="s">
        <v>1225</v>
      </c>
      <c r="E29" s="1" t="s">
        <v>9</v>
      </c>
      <c r="F29" s="1" t="s">
        <v>1226</v>
      </c>
      <c r="G29" s="1" t="s">
        <v>20</v>
      </c>
      <c r="H29" s="9">
        <f>_xlfn.XLOOKUP(Tabla3[[#This Row],[Nit]],Hoja2!A29:A1452,Hoja2!C29:C1452)</f>
        <v>1000000</v>
      </c>
      <c r="I29" s="1">
        <f>_xlfn.XLOOKUP(Tabla3[[#This Row],[Cliente]],'[1]Datos Contacto'!$A$2:$A$23,'[1]Datos Contacto'!$E$2:$E$23,0,0,1)</f>
        <v>0</v>
      </c>
    </row>
    <row r="30" spans="1:9" x14ac:dyDescent="0.25">
      <c r="A30" s="1">
        <v>14255792</v>
      </c>
      <c r="B30" s="1" t="s">
        <v>40</v>
      </c>
      <c r="C30" s="1"/>
      <c r="D30" s="21" t="s">
        <v>1225</v>
      </c>
      <c r="E30" s="1" t="s">
        <v>9</v>
      </c>
      <c r="F30" s="1" t="s">
        <v>1226</v>
      </c>
      <c r="G30" s="1" t="s">
        <v>15</v>
      </c>
      <c r="H30" s="9">
        <f>_xlfn.XLOOKUP(Tabla3[[#This Row],[Nit]],Hoja2!A30:A1453,Hoja2!C30:C1453)</f>
        <v>1000000</v>
      </c>
      <c r="I30" s="1">
        <f>_xlfn.XLOOKUP(Tabla3[[#This Row],[Cliente]],'[1]Datos Contacto'!$A$2:$A$23,'[1]Datos Contacto'!$E$2:$E$23,0,0,1)</f>
        <v>0</v>
      </c>
    </row>
    <row r="31" spans="1:9" x14ac:dyDescent="0.25">
      <c r="A31" s="1">
        <v>19299655</v>
      </c>
      <c r="B31" s="1" t="s">
        <v>41</v>
      </c>
      <c r="C31" s="1"/>
      <c r="D31" s="21" t="s">
        <v>1225</v>
      </c>
      <c r="E31" s="1" t="s">
        <v>9</v>
      </c>
      <c r="F31" s="1" t="s">
        <v>1226</v>
      </c>
      <c r="G31" s="1" t="s">
        <v>11</v>
      </c>
      <c r="H31" s="9">
        <f>_xlfn.XLOOKUP(Tabla3[[#This Row],[Nit]],Hoja2!A31:A1454,Hoja2!C31:C1454)</f>
        <v>1000000</v>
      </c>
      <c r="I31" s="1">
        <f>_xlfn.XLOOKUP(Tabla3[[#This Row],[Cliente]],'[1]Datos Contacto'!$A$2:$A$23,'[1]Datos Contacto'!$E$2:$E$23,0,0,1)</f>
        <v>0</v>
      </c>
    </row>
    <row r="32" spans="1:9" x14ac:dyDescent="0.25">
      <c r="A32" s="1">
        <v>79141003</v>
      </c>
      <c r="B32" s="1" t="s">
        <v>42</v>
      </c>
      <c r="C32" s="1"/>
      <c r="D32" s="21" t="s">
        <v>1225</v>
      </c>
      <c r="E32" s="1" t="s">
        <v>9</v>
      </c>
      <c r="F32" s="1" t="s">
        <v>1226</v>
      </c>
      <c r="G32" s="1" t="s">
        <v>11</v>
      </c>
      <c r="H32" s="9">
        <f>_xlfn.XLOOKUP(Tabla3[[#This Row],[Nit]],Hoja2!A32:A1455,Hoja2!C32:C1455)</f>
        <v>1000000</v>
      </c>
      <c r="I32" s="1">
        <f>_xlfn.XLOOKUP(Tabla3[[#This Row],[Cliente]],'[1]Datos Contacto'!$A$2:$A$23,'[1]Datos Contacto'!$E$2:$E$23,0,0,1)</f>
        <v>0</v>
      </c>
    </row>
    <row r="33" spans="1:9" x14ac:dyDescent="0.25">
      <c r="A33" s="1">
        <v>80048113</v>
      </c>
      <c r="B33" s="1" t="s">
        <v>43</v>
      </c>
      <c r="C33" s="1"/>
      <c r="D33" s="21" t="s">
        <v>1225</v>
      </c>
      <c r="E33" s="1" t="s">
        <v>9</v>
      </c>
      <c r="F33" s="1" t="s">
        <v>1226</v>
      </c>
      <c r="G33" s="1" t="s">
        <v>11</v>
      </c>
      <c r="H33" s="9">
        <f>_xlfn.XLOOKUP(Tabla3[[#This Row],[Nit]],Hoja2!A33:A1456,Hoja2!C33:C1456)</f>
        <v>2000000</v>
      </c>
      <c r="I33" s="1">
        <f>_xlfn.XLOOKUP(Tabla3[[#This Row],[Cliente]],'[1]Datos Contacto'!$A$2:$A$23,'[1]Datos Contacto'!$E$2:$E$23,0,0,1)</f>
        <v>0</v>
      </c>
    </row>
    <row r="34" spans="1:9" x14ac:dyDescent="0.25">
      <c r="A34" s="1">
        <v>16188451</v>
      </c>
      <c r="B34" s="1" t="s">
        <v>44</v>
      </c>
      <c r="C34" s="1"/>
      <c r="D34" s="21" t="s">
        <v>1225</v>
      </c>
      <c r="E34" s="1" t="s">
        <v>9</v>
      </c>
      <c r="F34" s="1" t="s">
        <v>1226</v>
      </c>
      <c r="G34" s="1" t="s">
        <v>15</v>
      </c>
      <c r="H34" s="9">
        <f>_xlfn.XLOOKUP(Tabla3[[#This Row],[Nit]],Hoja2!A34:A1457,Hoja2!C34:C1457)</f>
        <v>1000000</v>
      </c>
      <c r="I34" s="1">
        <f>_xlfn.XLOOKUP(Tabla3[[#This Row],[Cliente]],'[1]Datos Contacto'!$A$2:$A$23,'[1]Datos Contacto'!$E$2:$E$23,0,0,1)</f>
        <v>0</v>
      </c>
    </row>
    <row r="35" spans="1:9" x14ac:dyDescent="0.25">
      <c r="A35" s="1">
        <v>901086046</v>
      </c>
      <c r="B35" s="1" t="s">
        <v>45</v>
      </c>
      <c r="C35" s="1"/>
      <c r="D35" s="21" t="s">
        <v>1225</v>
      </c>
      <c r="E35" s="1" t="s">
        <v>6</v>
      </c>
      <c r="F35" s="1" t="s">
        <v>1226</v>
      </c>
      <c r="G35" s="1" t="s">
        <v>7</v>
      </c>
      <c r="H35" s="9">
        <f>_xlfn.XLOOKUP(Tabla3[[#This Row],[Nit]],Hoja2!A35:A1458,Hoja2!C35:C1458)</f>
        <v>0</v>
      </c>
      <c r="I35" s="1">
        <f>_xlfn.XLOOKUP(Tabla3[[#This Row],[Cliente]],'[1]Datos Contacto'!$A$2:$A$23,'[1]Datos Contacto'!$E$2:$E$23,0,0,1)</f>
        <v>0</v>
      </c>
    </row>
    <row r="36" spans="1:9" x14ac:dyDescent="0.25">
      <c r="A36" s="1">
        <v>221</v>
      </c>
      <c r="B36" s="1" t="s">
        <v>46</v>
      </c>
      <c r="C36" s="1"/>
      <c r="D36" s="21" t="s">
        <v>1225</v>
      </c>
      <c r="E36" s="1" t="s">
        <v>9</v>
      </c>
      <c r="F36" s="1" t="s">
        <v>1226</v>
      </c>
      <c r="G36" s="1" t="s">
        <v>11</v>
      </c>
      <c r="H36" s="9">
        <f>_xlfn.XLOOKUP(Tabla3[[#This Row],[Nit]],Hoja2!A36:A1459,Hoja2!C36:C1459)</f>
        <v>1000000</v>
      </c>
      <c r="I36" s="1">
        <f>_xlfn.XLOOKUP(Tabla3[[#This Row],[Cliente]],'[1]Datos Contacto'!$A$2:$A$23,'[1]Datos Contacto'!$E$2:$E$23,0,0,1)</f>
        <v>0</v>
      </c>
    </row>
    <row r="37" spans="1:9" x14ac:dyDescent="0.25">
      <c r="A37" s="1">
        <v>53176953</v>
      </c>
      <c r="B37" s="1" t="s">
        <v>47</v>
      </c>
      <c r="C37" s="1"/>
      <c r="D37" s="21" t="s">
        <v>1225</v>
      </c>
      <c r="E37" s="1" t="s">
        <v>9</v>
      </c>
      <c r="F37" s="1" t="s">
        <v>1226</v>
      </c>
      <c r="G37" s="1" t="s">
        <v>48</v>
      </c>
      <c r="H37" s="9">
        <f>_xlfn.XLOOKUP(Tabla3[[#This Row],[Nit]],Hoja2!A37:A1460,Hoja2!C37:C1460)</f>
        <v>1000000</v>
      </c>
      <c r="I37" s="1">
        <f>_xlfn.XLOOKUP(Tabla3[[#This Row],[Cliente]],'[1]Datos Contacto'!$A$2:$A$23,'[1]Datos Contacto'!$E$2:$E$23,0,0,1)</f>
        <v>0</v>
      </c>
    </row>
    <row r="38" spans="1:9" x14ac:dyDescent="0.25">
      <c r="A38" s="1">
        <v>52259025</v>
      </c>
      <c r="B38" s="1" t="s">
        <v>49</v>
      </c>
      <c r="C38" s="1"/>
      <c r="D38" s="21" t="s">
        <v>1225</v>
      </c>
      <c r="E38" s="1" t="s">
        <v>9</v>
      </c>
      <c r="F38" s="1" t="s">
        <v>1226</v>
      </c>
      <c r="G38" s="1" t="s">
        <v>11</v>
      </c>
      <c r="H38" s="9">
        <f>_xlfn.XLOOKUP(Tabla3[[#This Row],[Nit]],Hoja2!A38:A1461,Hoja2!C38:C1461)</f>
        <v>1000000</v>
      </c>
      <c r="I38" s="1">
        <f>_xlfn.XLOOKUP(Tabla3[[#This Row],[Cliente]],'[1]Datos Contacto'!$A$2:$A$23,'[1]Datos Contacto'!$E$2:$E$23,0,0,1)</f>
        <v>0</v>
      </c>
    </row>
    <row r="39" spans="1:9" x14ac:dyDescent="0.25">
      <c r="A39" s="1">
        <v>1032404402</v>
      </c>
      <c r="B39" s="1" t="s">
        <v>50</v>
      </c>
      <c r="C39" s="1"/>
      <c r="D39" s="21" t="s">
        <v>1225</v>
      </c>
      <c r="E39" s="1" t="s">
        <v>9</v>
      </c>
      <c r="F39" s="1" t="s">
        <v>1226</v>
      </c>
      <c r="G39" s="1" t="s">
        <v>20</v>
      </c>
      <c r="H39" s="9">
        <f>_xlfn.XLOOKUP(Tabla3[[#This Row],[Nit]],Hoja2!A39:A1462,Hoja2!C39:C1462)</f>
        <v>1000000</v>
      </c>
      <c r="I39" s="1">
        <f>_xlfn.XLOOKUP(Tabla3[[#This Row],[Cliente]],'[1]Datos Contacto'!$A$2:$A$23,'[1]Datos Contacto'!$E$2:$E$23,0,0,1)</f>
        <v>0</v>
      </c>
    </row>
    <row r="40" spans="1:9" x14ac:dyDescent="0.25">
      <c r="A40" s="1">
        <v>1016049623</v>
      </c>
      <c r="B40" s="1" t="s">
        <v>51</v>
      </c>
      <c r="C40" s="1"/>
      <c r="D40" s="21" t="s">
        <v>1225</v>
      </c>
      <c r="E40" s="1" t="s">
        <v>9</v>
      </c>
      <c r="F40" s="1" t="s">
        <v>1226</v>
      </c>
      <c r="G40" s="1" t="s">
        <v>11</v>
      </c>
      <c r="H40" s="9">
        <f>_xlfn.XLOOKUP(Tabla3[[#This Row],[Nit]],Hoja2!A40:A1463,Hoja2!C40:C1463)</f>
        <v>1000000</v>
      </c>
      <c r="I40" s="1">
        <f>_xlfn.XLOOKUP(Tabla3[[#This Row],[Cliente]],'[1]Datos Contacto'!$A$2:$A$23,'[1]Datos Contacto'!$E$2:$E$23,0,0,1)</f>
        <v>0</v>
      </c>
    </row>
    <row r="41" spans="1:9" x14ac:dyDescent="0.25">
      <c r="A41" s="1">
        <v>41696441</v>
      </c>
      <c r="B41" s="1" t="s">
        <v>52</v>
      </c>
      <c r="C41" s="1"/>
      <c r="D41" s="21" t="s">
        <v>1225</v>
      </c>
      <c r="E41" s="1" t="s">
        <v>9</v>
      </c>
      <c r="F41" s="1" t="s">
        <v>1226</v>
      </c>
      <c r="G41" s="1" t="s">
        <v>11</v>
      </c>
      <c r="H41" s="9">
        <f>_xlfn.XLOOKUP(Tabla3[[#This Row],[Nit]],Hoja2!A41:A1464,Hoja2!C41:C1464)</f>
        <v>1000000</v>
      </c>
      <c r="I41" s="1">
        <f>_xlfn.XLOOKUP(Tabla3[[#This Row],[Cliente]],'[1]Datos Contacto'!$A$2:$A$23,'[1]Datos Contacto'!$E$2:$E$23,0,0,1)</f>
        <v>0</v>
      </c>
    </row>
    <row r="42" spans="1:9" x14ac:dyDescent="0.25">
      <c r="A42" s="1">
        <v>51</v>
      </c>
      <c r="B42" s="1" t="s">
        <v>53</v>
      </c>
      <c r="C42" s="1"/>
      <c r="D42" s="21" t="s">
        <v>1225</v>
      </c>
      <c r="E42" s="1" t="s">
        <v>9</v>
      </c>
      <c r="F42" s="1" t="s">
        <v>1226</v>
      </c>
      <c r="G42" s="1" t="s">
        <v>48</v>
      </c>
      <c r="H42" s="9">
        <f>_xlfn.XLOOKUP(Tabla3[[#This Row],[Nit]],Hoja2!A42:A1465,Hoja2!C42:C1465)</f>
        <v>1000000</v>
      </c>
      <c r="I42" s="1">
        <f>_xlfn.XLOOKUP(Tabla3[[#This Row],[Cliente]],'[1]Datos Contacto'!$A$2:$A$23,'[1]Datos Contacto'!$E$2:$E$23,0,0,1)</f>
        <v>0</v>
      </c>
    </row>
    <row r="43" spans="1:9" x14ac:dyDescent="0.25">
      <c r="A43" s="1">
        <v>51848424</v>
      </c>
      <c r="B43" s="1" t="s">
        <v>54</v>
      </c>
      <c r="C43" s="1"/>
      <c r="D43" s="21" t="s">
        <v>1225</v>
      </c>
      <c r="E43" s="1" t="s">
        <v>9</v>
      </c>
      <c r="F43" s="1" t="s">
        <v>1226</v>
      </c>
      <c r="G43" s="1" t="s">
        <v>11</v>
      </c>
      <c r="H43" s="9">
        <f>_xlfn.XLOOKUP(Tabla3[[#This Row],[Nit]],Hoja2!A43:A1466,Hoja2!C43:C1466)</f>
        <v>1000000</v>
      </c>
      <c r="I43" s="1">
        <f>_xlfn.XLOOKUP(Tabla3[[#This Row],[Cliente]],'[1]Datos Contacto'!$A$2:$A$23,'[1]Datos Contacto'!$E$2:$E$23,0,0,1)</f>
        <v>0</v>
      </c>
    </row>
    <row r="44" spans="1:9" x14ac:dyDescent="0.25">
      <c r="A44" s="1">
        <v>1020792848</v>
      </c>
      <c r="B44" s="1" t="s">
        <v>55</v>
      </c>
      <c r="C44" s="1"/>
      <c r="D44" s="21" t="s">
        <v>1225</v>
      </c>
      <c r="E44" s="1" t="s">
        <v>9</v>
      </c>
      <c r="F44" s="1" t="s">
        <v>1226</v>
      </c>
      <c r="G44" s="1" t="s">
        <v>11</v>
      </c>
      <c r="H44" s="9">
        <f>_xlfn.XLOOKUP(Tabla3[[#This Row],[Nit]],Hoja2!A44:A1467,Hoja2!C44:C1467)</f>
        <v>1000000</v>
      </c>
      <c r="I44" s="1">
        <f>_xlfn.XLOOKUP(Tabla3[[#This Row],[Cliente]],'[1]Datos Contacto'!$A$2:$A$23,'[1]Datos Contacto'!$E$2:$E$23,0,0,1)</f>
        <v>0</v>
      </c>
    </row>
    <row r="45" spans="1:9" x14ac:dyDescent="0.25">
      <c r="A45" s="1">
        <v>1014224323</v>
      </c>
      <c r="B45" s="1" t="s">
        <v>56</v>
      </c>
      <c r="C45" s="1"/>
      <c r="D45" s="21" t="s">
        <v>1225</v>
      </c>
      <c r="E45" s="1" t="s">
        <v>9</v>
      </c>
      <c r="F45" s="1" t="s">
        <v>1226</v>
      </c>
      <c r="G45" s="1" t="s">
        <v>36</v>
      </c>
      <c r="H45" s="9">
        <f>_xlfn.XLOOKUP(Tabla3[[#This Row],[Nit]],Hoja2!A45:A1468,Hoja2!C45:C1468)</f>
        <v>1000000</v>
      </c>
      <c r="I45" s="1">
        <f>_xlfn.XLOOKUP(Tabla3[[#This Row],[Cliente]],'[1]Datos Contacto'!$A$2:$A$23,'[1]Datos Contacto'!$E$2:$E$23,0,0,1)</f>
        <v>0</v>
      </c>
    </row>
    <row r="46" spans="1:9" x14ac:dyDescent="0.25">
      <c r="A46" s="1">
        <v>1012447789</v>
      </c>
      <c r="B46" s="1" t="s">
        <v>57</v>
      </c>
      <c r="C46" s="1"/>
      <c r="D46" s="21" t="s">
        <v>1225</v>
      </c>
      <c r="E46" s="1" t="s">
        <v>9</v>
      </c>
      <c r="F46" s="1" t="s">
        <v>1226</v>
      </c>
      <c r="G46" s="1" t="s">
        <v>48</v>
      </c>
      <c r="H46" s="9">
        <f>_xlfn.XLOOKUP(Tabla3[[#This Row],[Nit]],Hoja2!A46:A1469,Hoja2!C46:C1469)</f>
        <v>1000000</v>
      </c>
      <c r="I46" s="1">
        <f>_xlfn.XLOOKUP(Tabla3[[#This Row],[Cliente]],'[1]Datos Contacto'!$A$2:$A$23,'[1]Datos Contacto'!$E$2:$E$23,0,0,1)</f>
        <v>0</v>
      </c>
    </row>
    <row r="47" spans="1:9" x14ac:dyDescent="0.25">
      <c r="A47" s="1">
        <v>1012382743</v>
      </c>
      <c r="B47" s="1" t="s">
        <v>58</v>
      </c>
      <c r="C47" s="1"/>
      <c r="D47" s="21" t="s">
        <v>1225</v>
      </c>
      <c r="E47" s="1" t="s">
        <v>9</v>
      </c>
      <c r="F47" s="1" t="s">
        <v>1226</v>
      </c>
      <c r="G47" s="1" t="s">
        <v>11</v>
      </c>
      <c r="H47" s="9">
        <f>_xlfn.XLOOKUP(Tabla3[[#This Row],[Nit]],Hoja2!A47:A1470,Hoja2!C47:C1470)</f>
        <v>1000000</v>
      </c>
      <c r="I47" s="1">
        <f>_xlfn.XLOOKUP(Tabla3[[#This Row],[Cliente]],'[1]Datos Contacto'!$A$2:$A$23,'[1]Datos Contacto'!$E$2:$E$23,0,0,1)</f>
        <v>0</v>
      </c>
    </row>
    <row r="48" spans="1:9" x14ac:dyDescent="0.25">
      <c r="A48" s="1">
        <v>93473071</v>
      </c>
      <c r="B48" s="1" t="s">
        <v>59</v>
      </c>
      <c r="C48" s="1"/>
      <c r="D48" s="21" t="s">
        <v>1225</v>
      </c>
      <c r="E48" s="1" t="s">
        <v>9</v>
      </c>
      <c r="F48" s="1" t="s">
        <v>1226</v>
      </c>
      <c r="G48" s="1" t="s">
        <v>15</v>
      </c>
      <c r="H48" s="9">
        <f>_xlfn.XLOOKUP(Tabla3[[#This Row],[Nit]],Hoja2!A48:A1471,Hoja2!C48:C1471)</f>
        <v>1000000</v>
      </c>
      <c r="I48" s="1">
        <f>_xlfn.XLOOKUP(Tabla3[[#This Row],[Cliente]],'[1]Datos Contacto'!$A$2:$A$23,'[1]Datos Contacto'!$E$2:$E$23,0,0,1)</f>
        <v>0</v>
      </c>
    </row>
    <row r="49" spans="1:9" x14ac:dyDescent="0.25">
      <c r="A49" s="1">
        <v>1018454306</v>
      </c>
      <c r="B49" s="1" t="s">
        <v>60</v>
      </c>
      <c r="C49" s="1"/>
      <c r="D49" s="21" t="s">
        <v>1225</v>
      </c>
      <c r="E49" s="1" t="s">
        <v>9</v>
      </c>
      <c r="F49" s="1" t="s">
        <v>1226</v>
      </c>
      <c r="G49" s="1" t="s">
        <v>11</v>
      </c>
      <c r="H49" s="9">
        <f>_xlfn.XLOOKUP(Tabla3[[#This Row],[Nit]],Hoja2!A49:A1472,Hoja2!C49:C1472)</f>
        <v>1000000</v>
      </c>
      <c r="I49" s="1">
        <f>_xlfn.XLOOKUP(Tabla3[[#This Row],[Cliente]],'[1]Datos Contacto'!$A$2:$A$23,'[1]Datos Contacto'!$E$2:$E$23,0,0,1)</f>
        <v>0</v>
      </c>
    </row>
    <row r="50" spans="1:9" x14ac:dyDescent="0.25">
      <c r="A50" s="1">
        <v>10749299520</v>
      </c>
      <c r="B50" s="1" t="s">
        <v>61</v>
      </c>
      <c r="C50" s="1"/>
      <c r="D50" s="21" t="s">
        <v>1225</v>
      </c>
      <c r="E50" s="1" t="s">
        <v>9</v>
      </c>
      <c r="F50" s="1" t="s">
        <v>1226</v>
      </c>
      <c r="G50" s="1" t="s">
        <v>11</v>
      </c>
      <c r="H50" s="9">
        <f>_xlfn.XLOOKUP(Tabla3[[#This Row],[Nit]],Hoja2!A50:A1473,Hoja2!C50:C1473)</f>
        <v>1000000</v>
      </c>
      <c r="I50" s="1">
        <f>_xlfn.XLOOKUP(Tabla3[[#This Row],[Cliente]],'[1]Datos Contacto'!$A$2:$A$23,'[1]Datos Contacto'!$E$2:$E$23,0,0,1)</f>
        <v>0</v>
      </c>
    </row>
    <row r="51" spans="1:9" x14ac:dyDescent="0.25">
      <c r="A51" s="1">
        <v>359</v>
      </c>
      <c r="B51" s="1" t="s">
        <v>62</v>
      </c>
      <c r="C51" s="1"/>
      <c r="D51" s="21" t="s">
        <v>1225</v>
      </c>
      <c r="E51" s="1" t="s">
        <v>9</v>
      </c>
      <c r="F51" s="1" t="s">
        <v>1226</v>
      </c>
      <c r="G51" s="1" t="s">
        <v>11</v>
      </c>
      <c r="H51" s="9">
        <f>_xlfn.XLOOKUP(Tabla3[[#This Row],[Nit]],Hoja2!A51:A1474,Hoja2!C51:C1474)</f>
        <v>1000000</v>
      </c>
      <c r="I51" s="1">
        <f>_xlfn.XLOOKUP(Tabla3[[#This Row],[Cliente]],'[1]Datos Contacto'!$A$2:$A$23,'[1]Datos Contacto'!$E$2:$E$23,0,0,1)</f>
        <v>0</v>
      </c>
    </row>
    <row r="52" spans="1:9" x14ac:dyDescent="0.25">
      <c r="A52" s="1">
        <v>80266045</v>
      </c>
      <c r="B52" s="1" t="s">
        <v>63</v>
      </c>
      <c r="C52" s="1"/>
      <c r="D52" s="21" t="s">
        <v>1225</v>
      </c>
      <c r="E52" s="1" t="s">
        <v>9</v>
      </c>
      <c r="F52" s="1" t="s">
        <v>1226</v>
      </c>
      <c r="G52" s="1" t="s">
        <v>11</v>
      </c>
      <c r="H52" s="9">
        <f>_xlfn.XLOOKUP(Tabla3[[#This Row],[Nit]],Hoja2!A52:A1475,Hoja2!C52:C1475)</f>
        <v>1000000</v>
      </c>
      <c r="I52" s="1">
        <f>_xlfn.XLOOKUP(Tabla3[[#This Row],[Cliente]],'[1]Datos Contacto'!$A$2:$A$23,'[1]Datos Contacto'!$E$2:$E$23,0,0,1)</f>
        <v>0</v>
      </c>
    </row>
    <row r="53" spans="1:9" x14ac:dyDescent="0.25">
      <c r="A53" s="1">
        <v>80110775</v>
      </c>
      <c r="B53" s="1" t="s">
        <v>64</v>
      </c>
      <c r="C53" s="1"/>
      <c r="D53" s="21" t="s">
        <v>1225</v>
      </c>
      <c r="E53" s="1" t="s">
        <v>9</v>
      </c>
      <c r="F53" s="1" t="s">
        <v>1226</v>
      </c>
      <c r="G53" s="1" t="s">
        <v>11</v>
      </c>
      <c r="H53" s="9">
        <f>_xlfn.XLOOKUP(Tabla3[[#This Row],[Nit]],Hoja2!A53:A1476,Hoja2!C53:C1476)</f>
        <v>1000000</v>
      </c>
      <c r="I53" s="1">
        <f>_xlfn.XLOOKUP(Tabla3[[#This Row],[Cliente]],'[1]Datos Contacto'!$A$2:$A$23,'[1]Datos Contacto'!$E$2:$E$23,0,0,1)</f>
        <v>0</v>
      </c>
    </row>
    <row r="54" spans="1:9" x14ac:dyDescent="0.25">
      <c r="A54" s="1">
        <v>1234641384</v>
      </c>
      <c r="B54" s="1" t="s">
        <v>65</v>
      </c>
      <c r="C54" s="1"/>
      <c r="D54" s="21" t="s">
        <v>1225</v>
      </c>
      <c r="E54" s="1" t="s">
        <v>9</v>
      </c>
      <c r="F54" s="1" t="s">
        <v>1226</v>
      </c>
      <c r="G54" s="1" t="s">
        <v>15</v>
      </c>
      <c r="H54" s="9">
        <f>_xlfn.XLOOKUP(Tabla3[[#This Row],[Nit]],Hoja2!A54:A1477,Hoja2!C54:C1477)</f>
        <v>50000000</v>
      </c>
      <c r="I54" s="1">
        <f>_xlfn.XLOOKUP(Tabla3[[#This Row],[Cliente]],'[1]Datos Contacto'!$A$2:$A$23,'[1]Datos Contacto'!$E$2:$E$23,0,0,1)</f>
        <v>0</v>
      </c>
    </row>
    <row r="55" spans="1:9" x14ac:dyDescent="0.25">
      <c r="A55" s="1">
        <v>1003712740</v>
      </c>
      <c r="B55" s="1" t="s">
        <v>66</v>
      </c>
      <c r="C55" s="1"/>
      <c r="D55" s="21" t="s">
        <v>1225</v>
      </c>
      <c r="E55" s="1" t="s">
        <v>9</v>
      </c>
      <c r="F55" s="1" t="s">
        <v>1226</v>
      </c>
      <c r="G55" s="1" t="s">
        <v>15</v>
      </c>
      <c r="H55" s="9">
        <f>_xlfn.XLOOKUP(Tabla3[[#This Row],[Nit]],Hoja2!A55:A1478,Hoja2!C55:C1478)</f>
        <v>1000000</v>
      </c>
      <c r="I55" s="1">
        <f>_xlfn.XLOOKUP(Tabla3[[#This Row],[Cliente]],'[1]Datos Contacto'!$A$2:$A$23,'[1]Datos Contacto'!$E$2:$E$23,0,0,1)</f>
        <v>0</v>
      </c>
    </row>
    <row r="56" spans="1:9" x14ac:dyDescent="0.25">
      <c r="A56" s="1">
        <v>901572006</v>
      </c>
      <c r="B56" s="1" t="s">
        <v>67</v>
      </c>
      <c r="C56" s="1"/>
      <c r="D56" s="21" t="s">
        <v>1225</v>
      </c>
      <c r="E56" s="1" t="s">
        <v>6</v>
      </c>
      <c r="F56" s="1" t="s">
        <v>1226</v>
      </c>
      <c r="G56" s="1" t="s">
        <v>7</v>
      </c>
      <c r="H56" s="9">
        <f>_xlfn.XLOOKUP(Tabla3[[#This Row],[Nit]],Hoja2!A56:A1479,Hoja2!C56:C1479)</f>
        <v>1000000</v>
      </c>
      <c r="I56" s="1">
        <f>_xlfn.XLOOKUP(Tabla3[[#This Row],[Cliente]],'[1]Datos Contacto'!$A$2:$A$23,'[1]Datos Contacto'!$E$2:$E$23,0,0,1)</f>
        <v>0</v>
      </c>
    </row>
    <row r="57" spans="1:9" x14ac:dyDescent="0.25">
      <c r="A57" s="1">
        <v>356</v>
      </c>
      <c r="B57" s="1" t="s">
        <v>68</v>
      </c>
      <c r="C57" s="1"/>
      <c r="D57" s="21" t="s">
        <v>1225</v>
      </c>
      <c r="E57" s="1" t="s">
        <v>9</v>
      </c>
      <c r="F57" s="1" t="s">
        <v>1226</v>
      </c>
      <c r="G57" s="1" t="s">
        <v>11</v>
      </c>
      <c r="H57" s="9">
        <f>_xlfn.XLOOKUP(Tabla3[[#This Row],[Nit]],Hoja2!A57:A1480,Hoja2!C57:C1480)</f>
        <v>1000000</v>
      </c>
      <c r="I57" s="1">
        <f>_xlfn.XLOOKUP(Tabla3[[#This Row],[Cliente]],'[1]Datos Contacto'!$A$2:$A$23,'[1]Datos Contacto'!$E$2:$E$23,0,0,1)</f>
        <v>0</v>
      </c>
    </row>
    <row r="58" spans="1:9" x14ac:dyDescent="0.25">
      <c r="A58" s="1">
        <v>134</v>
      </c>
      <c r="B58" s="1" t="s">
        <v>69</v>
      </c>
      <c r="C58" s="1"/>
      <c r="D58" s="21" t="s">
        <v>1225</v>
      </c>
      <c r="E58" s="1" t="s">
        <v>9</v>
      </c>
      <c r="F58" s="1" t="s">
        <v>1226</v>
      </c>
      <c r="G58" s="1" t="s">
        <v>11</v>
      </c>
      <c r="H58" s="9">
        <f>_xlfn.XLOOKUP(Tabla3[[#This Row],[Nit]],Hoja2!A58:A1481,Hoja2!C58:C1481)</f>
        <v>1000000</v>
      </c>
      <c r="I58" s="1">
        <f>_xlfn.XLOOKUP(Tabla3[[#This Row],[Cliente]],'[1]Datos Contacto'!$A$2:$A$23,'[1]Datos Contacto'!$E$2:$E$23,0,0,1)</f>
        <v>0</v>
      </c>
    </row>
    <row r="59" spans="1:9" x14ac:dyDescent="0.25">
      <c r="A59" s="1">
        <v>3539423</v>
      </c>
      <c r="B59" s="1" t="s">
        <v>70</v>
      </c>
      <c r="C59" s="1"/>
      <c r="D59" s="21" t="s">
        <v>1225</v>
      </c>
      <c r="E59" s="1" t="s">
        <v>9</v>
      </c>
      <c r="F59" s="1" t="s">
        <v>1226</v>
      </c>
      <c r="G59" s="1" t="s">
        <v>48</v>
      </c>
      <c r="H59" s="9">
        <f>_xlfn.XLOOKUP(Tabla3[[#This Row],[Nit]],Hoja2!A59:A1482,Hoja2!C59:C1482)</f>
        <v>1000000</v>
      </c>
      <c r="I59" s="1">
        <f>_xlfn.XLOOKUP(Tabla3[[#This Row],[Cliente]],'[1]Datos Contacto'!$A$2:$A$23,'[1]Datos Contacto'!$E$2:$E$23,0,0,1)</f>
        <v>0</v>
      </c>
    </row>
    <row r="60" spans="1:9" x14ac:dyDescent="0.25">
      <c r="A60" s="1">
        <v>901394633</v>
      </c>
      <c r="B60" s="1" t="s">
        <v>71</v>
      </c>
      <c r="C60" s="1"/>
      <c r="D60" s="21" t="s">
        <v>1225</v>
      </c>
      <c r="E60" s="1" t="s">
        <v>9</v>
      </c>
      <c r="F60" s="1" t="s">
        <v>1226</v>
      </c>
      <c r="G60" s="1" t="s">
        <v>11</v>
      </c>
      <c r="H60" s="9">
        <f>_xlfn.XLOOKUP(Tabla3[[#This Row],[Nit]],Hoja2!A60:A1483,Hoja2!C60:C1483)</f>
        <v>1000000</v>
      </c>
      <c r="I60" s="1">
        <f>_xlfn.XLOOKUP(Tabla3[[#This Row],[Cliente]],'[1]Datos Contacto'!$A$2:$A$23,'[1]Datos Contacto'!$E$2:$E$23,0,0,1)</f>
        <v>0</v>
      </c>
    </row>
    <row r="61" spans="1:9" x14ac:dyDescent="0.25">
      <c r="A61" s="1">
        <v>14250955</v>
      </c>
      <c r="B61" s="1" t="s">
        <v>72</v>
      </c>
      <c r="C61" s="1"/>
      <c r="D61" s="21" t="s">
        <v>1225</v>
      </c>
      <c r="E61" s="1" t="s">
        <v>9</v>
      </c>
      <c r="F61" s="1" t="s">
        <v>1226</v>
      </c>
      <c r="G61" s="1" t="s">
        <v>11</v>
      </c>
      <c r="H61" s="9">
        <f>_xlfn.XLOOKUP(Tabla3[[#This Row],[Nit]],Hoja2!A61:A1484,Hoja2!C61:C1484)</f>
        <v>1000000</v>
      </c>
      <c r="I61" s="1">
        <f>_xlfn.XLOOKUP(Tabla3[[#This Row],[Cliente]],'[1]Datos Contacto'!$A$2:$A$23,'[1]Datos Contacto'!$E$2:$E$23,0,0,1)</f>
        <v>0</v>
      </c>
    </row>
    <row r="62" spans="1:9" x14ac:dyDescent="0.25">
      <c r="A62" s="1">
        <v>1101176203</v>
      </c>
      <c r="B62" s="1" t="s">
        <v>73</v>
      </c>
      <c r="C62" s="1"/>
      <c r="D62" s="21" t="s">
        <v>1225</v>
      </c>
      <c r="E62" s="1" t="s">
        <v>9</v>
      </c>
      <c r="F62" s="1" t="s">
        <v>1226</v>
      </c>
      <c r="G62" s="1" t="s">
        <v>11</v>
      </c>
      <c r="H62" s="9">
        <f>_xlfn.XLOOKUP(Tabla3[[#This Row],[Nit]],Hoja2!A62:A1485,Hoja2!C62:C1485)</f>
        <v>1000000</v>
      </c>
      <c r="I62" s="1">
        <f>_xlfn.XLOOKUP(Tabla3[[#This Row],[Cliente]],'[1]Datos Contacto'!$A$2:$A$23,'[1]Datos Contacto'!$E$2:$E$23,0,0,1)</f>
        <v>0</v>
      </c>
    </row>
    <row r="63" spans="1:9" x14ac:dyDescent="0.25">
      <c r="A63" s="1">
        <v>387</v>
      </c>
      <c r="B63" s="1" t="s">
        <v>74</v>
      </c>
      <c r="C63" s="1"/>
      <c r="D63" s="21" t="s">
        <v>1225</v>
      </c>
      <c r="E63" s="1" t="s">
        <v>9</v>
      </c>
      <c r="F63" s="1" t="s">
        <v>1226</v>
      </c>
      <c r="G63" s="1" t="s">
        <v>11</v>
      </c>
      <c r="H63" s="9">
        <f>_xlfn.XLOOKUP(Tabla3[[#This Row],[Nit]],Hoja2!A63:A1486,Hoja2!C63:C1486)</f>
        <v>1000000</v>
      </c>
      <c r="I63" s="1">
        <f>_xlfn.XLOOKUP(Tabla3[[#This Row],[Cliente]],'[1]Datos Contacto'!$A$2:$A$23,'[1]Datos Contacto'!$E$2:$E$23,0,0,1)</f>
        <v>0</v>
      </c>
    </row>
    <row r="64" spans="1:9" x14ac:dyDescent="0.25">
      <c r="A64" s="1">
        <v>901174547</v>
      </c>
      <c r="B64" s="1" t="s">
        <v>75</v>
      </c>
      <c r="C64" s="1"/>
      <c r="D64" s="21" t="s">
        <v>1225</v>
      </c>
      <c r="E64" s="1" t="s">
        <v>9</v>
      </c>
      <c r="F64" s="1" t="s">
        <v>1226</v>
      </c>
      <c r="G64" s="1" t="s">
        <v>7</v>
      </c>
      <c r="H64" s="9">
        <f>_xlfn.XLOOKUP(Tabla3[[#This Row],[Nit]],Hoja2!A64:A1487,Hoja2!C64:C1487)</f>
        <v>1000000</v>
      </c>
      <c r="I64" s="1">
        <f>_xlfn.XLOOKUP(Tabla3[[#This Row],[Cliente]],'[1]Datos Contacto'!$A$2:$A$23,'[1]Datos Contacto'!$E$2:$E$23,0,0,1)</f>
        <v>0</v>
      </c>
    </row>
    <row r="65" spans="1:9" x14ac:dyDescent="0.25">
      <c r="A65" s="1">
        <v>901202142</v>
      </c>
      <c r="B65" s="1" t="s">
        <v>76</v>
      </c>
      <c r="C65" s="1"/>
      <c r="D65" s="21" t="s">
        <v>1225</v>
      </c>
      <c r="E65" s="1" t="s">
        <v>9</v>
      </c>
      <c r="F65" s="1" t="s">
        <v>1226</v>
      </c>
      <c r="G65" s="1" t="s">
        <v>7</v>
      </c>
      <c r="H65" s="9">
        <f>_xlfn.XLOOKUP(Tabla3[[#This Row],[Nit]],Hoja2!A65:A1488,Hoja2!C65:C1488)</f>
        <v>1000000</v>
      </c>
      <c r="I65" s="1">
        <f>_xlfn.XLOOKUP(Tabla3[[#This Row],[Cliente]],'[1]Datos Contacto'!$A$2:$A$23,'[1]Datos Contacto'!$E$2:$E$23,0,0,1)</f>
        <v>0</v>
      </c>
    </row>
    <row r="66" spans="1:9" x14ac:dyDescent="0.25">
      <c r="A66" s="1">
        <v>900143591</v>
      </c>
      <c r="B66" s="1" t="s">
        <v>77</v>
      </c>
      <c r="C66" s="1"/>
      <c r="D66" s="21" t="s">
        <v>1225</v>
      </c>
      <c r="E66" s="1" t="s">
        <v>9</v>
      </c>
      <c r="F66" s="1" t="s">
        <v>1226</v>
      </c>
      <c r="G66" s="1" t="s">
        <v>7</v>
      </c>
      <c r="H66" s="9">
        <f>_xlfn.XLOOKUP(Tabla3[[#This Row],[Nit]],Hoja2!A66:A1489,Hoja2!C66:C1489)</f>
        <v>1000000</v>
      </c>
      <c r="I66" s="1">
        <f>_xlfn.XLOOKUP(Tabla3[[#This Row],[Cliente]],'[1]Datos Contacto'!$A$2:$A$23,'[1]Datos Contacto'!$E$2:$E$23,0,0,1)</f>
        <v>0</v>
      </c>
    </row>
    <row r="67" spans="1:9" x14ac:dyDescent="0.25">
      <c r="A67" s="1">
        <v>901378471</v>
      </c>
      <c r="B67" s="1" t="s">
        <v>78</v>
      </c>
      <c r="C67" s="1"/>
      <c r="D67" s="21" t="s">
        <v>1225</v>
      </c>
      <c r="E67" s="1" t="s">
        <v>79</v>
      </c>
      <c r="F67" s="1" t="s">
        <v>1226</v>
      </c>
      <c r="G67" s="1" t="s">
        <v>7</v>
      </c>
      <c r="H67" s="9">
        <f>_xlfn.XLOOKUP(Tabla3[[#This Row],[Nit]],Hoja2!A67:A1490,Hoja2!C67:C1490)</f>
        <v>1000000</v>
      </c>
      <c r="I67" s="1">
        <f>_xlfn.XLOOKUP(Tabla3[[#This Row],[Cliente]],'[1]Datos Contacto'!$A$2:$A$23,'[1]Datos Contacto'!$E$2:$E$23,0,0,1)</f>
        <v>0</v>
      </c>
    </row>
    <row r="68" spans="1:9" x14ac:dyDescent="0.25">
      <c r="A68" s="1">
        <v>1015415690</v>
      </c>
      <c r="B68" s="1" t="s">
        <v>80</v>
      </c>
      <c r="C68" s="1"/>
      <c r="D68" s="21" t="s">
        <v>1225</v>
      </c>
      <c r="E68" s="1" t="s">
        <v>9</v>
      </c>
      <c r="F68" s="1" t="s">
        <v>1226</v>
      </c>
      <c r="G68" s="1" t="s">
        <v>15</v>
      </c>
      <c r="H68" s="9">
        <f>_xlfn.XLOOKUP(Tabla3[[#This Row],[Nit]],Hoja2!A68:A1491,Hoja2!C68:C1491)</f>
        <v>1000000</v>
      </c>
      <c r="I68" s="1">
        <f>_xlfn.XLOOKUP(Tabla3[[#This Row],[Cliente]],'[1]Datos Contacto'!$A$2:$A$23,'[1]Datos Contacto'!$E$2:$E$23,0,0,1)</f>
        <v>0</v>
      </c>
    </row>
    <row r="69" spans="1:9" x14ac:dyDescent="0.25">
      <c r="A69" s="1">
        <v>901092340</v>
      </c>
      <c r="B69" s="1" t="s">
        <v>81</v>
      </c>
      <c r="C69" s="1"/>
      <c r="D69" s="21" t="s">
        <v>1225</v>
      </c>
      <c r="E69" s="1" t="s">
        <v>9</v>
      </c>
      <c r="F69" s="1" t="s">
        <v>1226</v>
      </c>
      <c r="G69" s="1" t="s">
        <v>7</v>
      </c>
      <c r="H69" s="9">
        <f>_xlfn.XLOOKUP(Tabla3[[#This Row],[Nit]],Hoja2!A69:A1492,Hoja2!C69:C1492)</f>
        <v>1000000</v>
      </c>
      <c r="I69" s="1">
        <f>_xlfn.XLOOKUP(Tabla3[[#This Row],[Cliente]],'[1]Datos Contacto'!$A$2:$A$23,'[1]Datos Contacto'!$E$2:$E$23,0,0,1)</f>
        <v>0</v>
      </c>
    </row>
    <row r="70" spans="1:9" x14ac:dyDescent="0.25">
      <c r="A70" s="1">
        <v>901778934</v>
      </c>
      <c r="B70" s="1" t="s">
        <v>82</v>
      </c>
      <c r="C70" s="1"/>
      <c r="D70" s="21" t="s">
        <v>1225</v>
      </c>
      <c r="E70" s="1" t="s">
        <v>9</v>
      </c>
      <c r="F70" s="1" t="s">
        <v>1226</v>
      </c>
      <c r="G70" s="1" t="s">
        <v>11</v>
      </c>
      <c r="H70" s="9">
        <f>_xlfn.XLOOKUP(Tabla3[[#This Row],[Nit]],Hoja2!A70:A1493,Hoja2!C70:C1493)</f>
        <v>2000000</v>
      </c>
      <c r="I70" s="1">
        <f>_xlfn.XLOOKUP(Tabla3[[#This Row],[Cliente]],'[1]Datos Contacto'!$A$2:$A$23,'[1]Datos Contacto'!$E$2:$E$23,0,0,1)</f>
        <v>0</v>
      </c>
    </row>
    <row r="71" spans="1:9" x14ac:dyDescent="0.25">
      <c r="A71" s="1">
        <v>860034313</v>
      </c>
      <c r="B71" s="1" t="s">
        <v>83</v>
      </c>
      <c r="C71" s="1"/>
      <c r="D71" s="21" t="s">
        <v>1225</v>
      </c>
      <c r="E71" s="1" t="s">
        <v>9</v>
      </c>
      <c r="F71" s="1" t="s">
        <v>1226</v>
      </c>
      <c r="G71" s="1" t="s">
        <v>11</v>
      </c>
      <c r="H71" s="9">
        <f>_xlfn.XLOOKUP(Tabla3[[#This Row],[Nit]],Hoja2!A71:A1494,Hoja2!C71:C1494)</f>
        <v>1000000</v>
      </c>
      <c r="I71" s="1">
        <f>_xlfn.XLOOKUP(Tabla3[[#This Row],[Cliente]],'[1]Datos Contacto'!$A$2:$A$23,'[1]Datos Contacto'!$E$2:$E$23,0,0,1)</f>
        <v>0</v>
      </c>
    </row>
    <row r="72" spans="1:9" x14ac:dyDescent="0.25">
      <c r="A72" s="1">
        <v>901181660</v>
      </c>
      <c r="B72" s="1" t="s">
        <v>84</v>
      </c>
      <c r="C72" s="1"/>
      <c r="D72" s="21" t="s">
        <v>1225</v>
      </c>
      <c r="E72" s="1" t="s">
        <v>9</v>
      </c>
      <c r="F72" s="1" t="s">
        <v>1226</v>
      </c>
      <c r="G72" s="1" t="s">
        <v>7</v>
      </c>
      <c r="H72" s="9">
        <f>_xlfn.XLOOKUP(Tabla3[[#This Row],[Nit]],Hoja2!A72:A1495,Hoja2!C72:C1495)</f>
        <v>1000000</v>
      </c>
      <c r="I72" s="1">
        <f>_xlfn.XLOOKUP(Tabla3[[#This Row],[Cliente]],'[1]Datos Contacto'!$A$2:$A$23,'[1]Datos Contacto'!$E$2:$E$23,0,0,1)</f>
        <v>0</v>
      </c>
    </row>
    <row r="73" spans="1:9" x14ac:dyDescent="0.25">
      <c r="A73" s="1">
        <v>51713266</v>
      </c>
      <c r="B73" s="1" t="s">
        <v>85</v>
      </c>
      <c r="C73" s="1"/>
      <c r="D73" s="21" t="s">
        <v>1225</v>
      </c>
      <c r="E73" s="1" t="s">
        <v>9</v>
      </c>
      <c r="F73" s="1" t="s">
        <v>1226</v>
      </c>
      <c r="G73" s="1" t="s">
        <v>7</v>
      </c>
      <c r="H73" s="9">
        <f>_xlfn.XLOOKUP(Tabla3[[#This Row],[Nit]],Hoja2!A73:A1496,Hoja2!C73:C1496)</f>
        <v>1000000</v>
      </c>
      <c r="I73" s="1">
        <f>_xlfn.XLOOKUP(Tabla3[[#This Row],[Cliente]],'[1]Datos Contacto'!$A$2:$A$23,'[1]Datos Contacto'!$E$2:$E$23,0,0,1)</f>
        <v>0</v>
      </c>
    </row>
    <row r="74" spans="1:9" x14ac:dyDescent="0.25">
      <c r="A74" s="1">
        <v>901515967</v>
      </c>
      <c r="B74" s="1" t="s">
        <v>86</v>
      </c>
      <c r="C74" s="1"/>
      <c r="D74" s="21" t="s">
        <v>1225</v>
      </c>
      <c r="E74" s="1" t="s">
        <v>9</v>
      </c>
      <c r="F74" s="1" t="s">
        <v>1226</v>
      </c>
      <c r="G74" s="1" t="s">
        <v>7</v>
      </c>
      <c r="H74" s="9">
        <f>_xlfn.XLOOKUP(Tabla3[[#This Row],[Nit]],Hoja2!A74:A1497,Hoja2!C74:C1497)</f>
        <v>1000000</v>
      </c>
      <c r="I74" s="1">
        <f>_xlfn.XLOOKUP(Tabla3[[#This Row],[Cliente]],'[1]Datos Contacto'!$A$2:$A$23,'[1]Datos Contacto'!$E$2:$E$23,0,0,1)</f>
        <v>0</v>
      </c>
    </row>
    <row r="75" spans="1:9" x14ac:dyDescent="0.25">
      <c r="A75" s="1">
        <v>5660450</v>
      </c>
      <c r="B75" s="1" t="s">
        <v>87</v>
      </c>
      <c r="C75" s="1"/>
      <c r="D75" s="21" t="s">
        <v>1225</v>
      </c>
      <c r="E75" s="1" t="s">
        <v>9</v>
      </c>
      <c r="F75" s="1" t="s">
        <v>1226</v>
      </c>
      <c r="G75" s="1" t="s">
        <v>7</v>
      </c>
      <c r="H75" s="9">
        <f>_xlfn.XLOOKUP(Tabla3[[#This Row],[Nit]],Hoja2!A75:A1498,Hoja2!C75:C1498)</f>
        <v>1000000</v>
      </c>
      <c r="I75" s="1">
        <f>_xlfn.XLOOKUP(Tabla3[[#This Row],[Cliente]],'[1]Datos Contacto'!$A$2:$A$23,'[1]Datos Contacto'!$E$2:$E$23,0,0,1)</f>
        <v>0</v>
      </c>
    </row>
    <row r="76" spans="1:9" x14ac:dyDescent="0.25">
      <c r="A76" s="1">
        <v>26125960</v>
      </c>
      <c r="B76" s="1" t="s">
        <v>88</v>
      </c>
      <c r="C76" s="1"/>
      <c r="D76" s="21" t="s">
        <v>1225</v>
      </c>
      <c r="E76" s="1" t="s">
        <v>9</v>
      </c>
      <c r="F76" s="1" t="s">
        <v>1226</v>
      </c>
      <c r="G76" s="1" t="s">
        <v>7</v>
      </c>
      <c r="H76" s="9">
        <f>_xlfn.XLOOKUP(Tabla3[[#This Row],[Nit]],Hoja2!A76:A1499,Hoja2!C76:C1499)</f>
        <v>1000000</v>
      </c>
      <c r="I76" s="1">
        <f>_xlfn.XLOOKUP(Tabla3[[#This Row],[Cliente]],'[1]Datos Contacto'!$A$2:$A$23,'[1]Datos Contacto'!$E$2:$E$23,0,0,1)</f>
        <v>0</v>
      </c>
    </row>
    <row r="77" spans="1:9" x14ac:dyDescent="0.25">
      <c r="A77" s="1">
        <v>52287596</v>
      </c>
      <c r="B77" s="1" t="s">
        <v>89</v>
      </c>
      <c r="C77" s="1"/>
      <c r="D77" s="21" t="s">
        <v>1225</v>
      </c>
      <c r="E77" s="1" t="s">
        <v>9</v>
      </c>
      <c r="F77" s="1" t="s">
        <v>1226</v>
      </c>
      <c r="G77" s="1" t="s">
        <v>11</v>
      </c>
      <c r="H77" s="9">
        <f>_xlfn.XLOOKUP(Tabla3[[#This Row],[Nit]],Hoja2!A77:A1500,Hoja2!C77:C1500)</f>
        <v>1000000</v>
      </c>
      <c r="I77" s="1">
        <f>_xlfn.XLOOKUP(Tabla3[[#This Row],[Cliente]],'[1]Datos Contacto'!$A$2:$A$23,'[1]Datos Contacto'!$E$2:$E$23,0,0,1)</f>
        <v>0</v>
      </c>
    </row>
    <row r="78" spans="1:9" x14ac:dyDescent="0.25">
      <c r="A78" s="1">
        <v>901632942</v>
      </c>
      <c r="B78" s="1" t="s">
        <v>90</v>
      </c>
      <c r="C78" s="1"/>
      <c r="D78" s="21" t="s">
        <v>1225</v>
      </c>
      <c r="E78" s="1" t="s">
        <v>9</v>
      </c>
      <c r="F78" s="1" t="s">
        <v>1226</v>
      </c>
      <c r="G78" s="1" t="s">
        <v>7</v>
      </c>
      <c r="H78" s="9">
        <f>_xlfn.XLOOKUP(Tabla3[[#This Row],[Nit]],Hoja2!A78:A1501,Hoja2!C78:C1501)</f>
        <v>1000000</v>
      </c>
      <c r="I78" s="1">
        <f>_xlfn.XLOOKUP(Tabla3[[#This Row],[Cliente]],'[1]Datos Contacto'!$A$2:$A$23,'[1]Datos Contacto'!$E$2:$E$23,0,0,1)</f>
        <v>0</v>
      </c>
    </row>
    <row r="79" spans="1:9" x14ac:dyDescent="0.25">
      <c r="A79" s="1">
        <v>901699915</v>
      </c>
      <c r="B79" s="1" t="s">
        <v>91</v>
      </c>
      <c r="C79" s="1"/>
      <c r="D79" s="21" t="s">
        <v>1225</v>
      </c>
      <c r="E79" s="1" t="s">
        <v>9</v>
      </c>
      <c r="F79" s="1" t="s">
        <v>1226</v>
      </c>
      <c r="G79" s="1" t="s">
        <v>7</v>
      </c>
      <c r="H79" s="9">
        <f>_xlfn.XLOOKUP(Tabla3[[#This Row],[Nit]],Hoja2!A79:A1502,Hoja2!C79:C1502)</f>
        <v>10000000</v>
      </c>
      <c r="I79" s="1">
        <f>_xlfn.XLOOKUP(Tabla3[[#This Row],[Cliente]],'[1]Datos Contacto'!$A$2:$A$23,'[1]Datos Contacto'!$E$2:$E$23,0,0,1)</f>
        <v>0</v>
      </c>
    </row>
    <row r="80" spans="1:9" x14ac:dyDescent="0.25">
      <c r="A80" s="1">
        <v>901643368</v>
      </c>
      <c r="B80" s="1" t="s">
        <v>92</v>
      </c>
      <c r="C80" s="1"/>
      <c r="D80" s="21" t="s">
        <v>1225</v>
      </c>
      <c r="E80" s="1" t="s">
        <v>9</v>
      </c>
      <c r="F80" s="1" t="s">
        <v>1226</v>
      </c>
      <c r="G80" s="1" t="s">
        <v>7</v>
      </c>
      <c r="H80" s="9">
        <f>_xlfn.XLOOKUP(Tabla3[[#This Row],[Nit]],Hoja2!A80:A1503,Hoja2!C80:C1503)</f>
        <v>1000000</v>
      </c>
      <c r="I80" s="1">
        <f>_xlfn.XLOOKUP(Tabla3[[#This Row],[Cliente]],'[1]Datos Contacto'!$A$2:$A$23,'[1]Datos Contacto'!$E$2:$E$23,0,0,1)</f>
        <v>0</v>
      </c>
    </row>
    <row r="81" spans="1:9" x14ac:dyDescent="0.25">
      <c r="A81" s="1">
        <v>17388067</v>
      </c>
      <c r="B81" s="1" t="s">
        <v>93</v>
      </c>
      <c r="C81" s="1"/>
      <c r="D81" s="21" t="s">
        <v>1225</v>
      </c>
      <c r="E81" s="1" t="s">
        <v>9</v>
      </c>
      <c r="F81" s="1" t="s">
        <v>1226</v>
      </c>
      <c r="G81" s="1" t="s">
        <v>11</v>
      </c>
      <c r="H81" s="9">
        <f>_xlfn.XLOOKUP(Tabla3[[#This Row],[Nit]],Hoja2!A81:A1504,Hoja2!C81:C1504)</f>
        <v>1000000</v>
      </c>
      <c r="I81" s="1">
        <f>_xlfn.XLOOKUP(Tabla3[[#This Row],[Cliente]],'[1]Datos Contacto'!$A$2:$A$23,'[1]Datos Contacto'!$E$2:$E$23,0,0,1)</f>
        <v>0</v>
      </c>
    </row>
    <row r="82" spans="1:9" x14ac:dyDescent="0.25">
      <c r="A82" s="1">
        <v>38289657</v>
      </c>
      <c r="B82" s="1" t="s">
        <v>94</v>
      </c>
      <c r="C82" s="1"/>
      <c r="D82" s="21" t="s">
        <v>1225</v>
      </c>
      <c r="E82" s="1" t="s">
        <v>9</v>
      </c>
      <c r="F82" s="1" t="s">
        <v>1226</v>
      </c>
      <c r="G82" s="1" t="s">
        <v>11</v>
      </c>
      <c r="H82" s="9">
        <f>_xlfn.XLOOKUP(Tabla3[[#This Row],[Nit]],Hoja2!A82:A1505,Hoja2!C82:C1505)</f>
        <v>1000000</v>
      </c>
      <c r="I82" s="1">
        <f>_xlfn.XLOOKUP(Tabla3[[#This Row],[Cliente]],'[1]Datos Contacto'!$A$2:$A$23,'[1]Datos Contacto'!$E$2:$E$23,0,0,1)</f>
        <v>0</v>
      </c>
    </row>
    <row r="83" spans="1:9" x14ac:dyDescent="0.25">
      <c r="A83" s="1">
        <v>900413541</v>
      </c>
      <c r="B83" s="1" t="s">
        <v>95</v>
      </c>
      <c r="C83" s="1"/>
      <c r="D83" s="21" t="s">
        <v>1225</v>
      </c>
      <c r="E83" s="1" t="s">
        <v>9</v>
      </c>
      <c r="F83" s="1" t="s">
        <v>1226</v>
      </c>
      <c r="G83" s="1" t="s">
        <v>36</v>
      </c>
      <c r="H83" s="9">
        <f>_xlfn.XLOOKUP(Tabla3[[#This Row],[Nit]],Hoja2!A83:A1506,Hoja2!C83:C1506)</f>
        <v>1000000</v>
      </c>
      <c r="I83" s="1">
        <f>_xlfn.XLOOKUP(Tabla3[[#This Row],[Cliente]],'[1]Datos Contacto'!$A$2:$A$23,'[1]Datos Contacto'!$E$2:$E$23,0,0,1)</f>
        <v>0</v>
      </c>
    </row>
    <row r="84" spans="1:9" x14ac:dyDescent="0.25">
      <c r="A84" s="1">
        <v>1030662279</v>
      </c>
      <c r="B84" s="1" t="s">
        <v>96</v>
      </c>
      <c r="C84" s="1"/>
      <c r="D84" s="21" t="s">
        <v>1225</v>
      </c>
      <c r="E84" s="1" t="s">
        <v>9</v>
      </c>
      <c r="F84" s="1" t="s">
        <v>1226</v>
      </c>
      <c r="G84" s="1" t="s">
        <v>11</v>
      </c>
      <c r="H84" s="9">
        <f>_xlfn.XLOOKUP(Tabla3[[#This Row],[Nit]],Hoja2!A84:A1507,Hoja2!C84:C1507)</f>
        <v>1000000</v>
      </c>
      <c r="I84" s="1">
        <f>_xlfn.XLOOKUP(Tabla3[[#This Row],[Cliente]],'[1]Datos Contacto'!$A$2:$A$23,'[1]Datos Contacto'!$E$2:$E$23,0,0,1)</f>
        <v>0</v>
      </c>
    </row>
    <row r="85" spans="1:9" x14ac:dyDescent="0.25">
      <c r="A85" s="1">
        <v>406</v>
      </c>
      <c r="B85" s="1" t="s">
        <v>97</v>
      </c>
      <c r="C85" s="1"/>
      <c r="D85" s="21" t="s">
        <v>1225</v>
      </c>
      <c r="E85" s="1" t="s">
        <v>9</v>
      </c>
      <c r="F85" s="1" t="s">
        <v>1226</v>
      </c>
      <c r="G85" s="1" t="s">
        <v>11</v>
      </c>
      <c r="H85" s="9">
        <f>_xlfn.XLOOKUP(Tabla3[[#This Row],[Nit]],Hoja2!A85:A1508,Hoja2!C85:C1508)</f>
        <v>1000000</v>
      </c>
      <c r="I85" s="1">
        <f>_xlfn.XLOOKUP(Tabla3[[#This Row],[Cliente]],'[1]Datos Contacto'!$A$2:$A$23,'[1]Datos Contacto'!$E$2:$E$23,0,0,1)</f>
        <v>0</v>
      </c>
    </row>
    <row r="86" spans="1:9" x14ac:dyDescent="0.25">
      <c r="A86" s="1">
        <v>200</v>
      </c>
      <c r="B86" s="1" t="s">
        <v>98</v>
      </c>
      <c r="C86" s="1"/>
      <c r="D86" s="21" t="s">
        <v>1225</v>
      </c>
      <c r="E86" s="1" t="s">
        <v>9</v>
      </c>
      <c r="F86" s="1" t="s">
        <v>1226</v>
      </c>
      <c r="G86" s="1" t="s">
        <v>11</v>
      </c>
      <c r="H86" s="9">
        <f>_xlfn.XLOOKUP(Tabla3[[#This Row],[Nit]],Hoja2!A86:A1509,Hoja2!C86:C1509)</f>
        <v>1000000</v>
      </c>
      <c r="I86" s="1">
        <f>_xlfn.XLOOKUP(Tabla3[[#This Row],[Cliente]],'[1]Datos Contacto'!$A$2:$A$23,'[1]Datos Contacto'!$E$2:$E$23,0,0,1)</f>
        <v>0</v>
      </c>
    </row>
    <row r="87" spans="1:9" x14ac:dyDescent="0.25">
      <c r="A87" s="1">
        <v>900777454</v>
      </c>
      <c r="B87" s="1" t="s">
        <v>99</v>
      </c>
      <c r="C87" s="1"/>
      <c r="D87" s="21" t="s">
        <v>1225</v>
      </c>
      <c r="E87" s="1" t="s">
        <v>9</v>
      </c>
      <c r="F87" s="1" t="s">
        <v>1226</v>
      </c>
      <c r="G87" s="1" t="s">
        <v>11</v>
      </c>
      <c r="H87" s="9">
        <f>_xlfn.XLOOKUP(Tabla3[[#This Row],[Nit]],Hoja2!A87:A1510,Hoja2!C87:C1510)</f>
        <v>1000000</v>
      </c>
      <c r="I87" s="1">
        <f>_xlfn.XLOOKUP(Tabla3[[#This Row],[Cliente]],'[1]Datos Contacto'!$A$2:$A$23,'[1]Datos Contacto'!$E$2:$E$23,0,0,1)</f>
        <v>0</v>
      </c>
    </row>
    <row r="88" spans="1:9" x14ac:dyDescent="0.25">
      <c r="A88" s="1">
        <v>901423456</v>
      </c>
      <c r="B88" s="1" t="s">
        <v>100</v>
      </c>
      <c r="C88" s="1"/>
      <c r="D88" s="21" t="s">
        <v>1225</v>
      </c>
      <c r="E88" s="1" t="s">
        <v>9</v>
      </c>
      <c r="F88" s="1" t="s">
        <v>1226</v>
      </c>
      <c r="G88" s="1" t="s">
        <v>7</v>
      </c>
      <c r="H88" s="9">
        <f>_xlfn.XLOOKUP(Tabla3[[#This Row],[Nit]],Hoja2!A88:A1511,Hoja2!C88:C1511)</f>
        <v>1000000</v>
      </c>
      <c r="I88" s="1">
        <f>_xlfn.XLOOKUP(Tabla3[[#This Row],[Cliente]],'[1]Datos Contacto'!$A$2:$A$23,'[1]Datos Contacto'!$E$2:$E$23,0,0,1)</f>
        <v>0</v>
      </c>
    </row>
    <row r="89" spans="1:9" x14ac:dyDescent="0.25">
      <c r="A89" s="1">
        <v>901228788</v>
      </c>
      <c r="B89" s="1" t="s">
        <v>101</v>
      </c>
      <c r="C89" s="1"/>
      <c r="D89" s="21" t="s">
        <v>1225</v>
      </c>
      <c r="E89" s="1" t="s">
        <v>9</v>
      </c>
      <c r="F89" s="1" t="s">
        <v>1226</v>
      </c>
      <c r="G89" s="1" t="s">
        <v>20</v>
      </c>
      <c r="H89" s="9">
        <f>_xlfn.XLOOKUP(Tabla3[[#This Row],[Nit]],Hoja2!A89:A1512,Hoja2!C89:C1512)</f>
        <v>1000000</v>
      </c>
      <c r="I89" s="1">
        <f>_xlfn.XLOOKUP(Tabla3[[#This Row],[Cliente]],'[1]Datos Contacto'!$A$2:$A$23,'[1]Datos Contacto'!$E$2:$E$23,0,0,1)</f>
        <v>0</v>
      </c>
    </row>
    <row r="90" spans="1:9" x14ac:dyDescent="0.25">
      <c r="A90" s="1">
        <v>860007336</v>
      </c>
      <c r="B90" s="1" t="s">
        <v>102</v>
      </c>
      <c r="C90" s="1"/>
      <c r="D90" s="21" t="s">
        <v>1225</v>
      </c>
      <c r="E90" s="1" t="s">
        <v>9</v>
      </c>
      <c r="F90" s="1" t="s">
        <v>1226</v>
      </c>
      <c r="G90" s="1" t="s">
        <v>103</v>
      </c>
      <c r="H90" s="9">
        <f>_xlfn.XLOOKUP(Tabla3[[#This Row],[Nit]],Hoja2!A90:A1513,Hoja2!C90:C1513)</f>
        <v>1500000000</v>
      </c>
      <c r="I90" s="1" t="str">
        <f>_xlfn.XLOOKUP(Tabla3[[#This Row],[Cliente]],'[1]Datos Contacto'!$A$2:$A$23,'[1]Datos Contacto'!$E$2:$E$23,0,0,1)</f>
        <v>servicioalcliente@colsubsidio.com</v>
      </c>
    </row>
    <row r="91" spans="1:9" x14ac:dyDescent="0.25">
      <c r="A91" s="1">
        <v>129</v>
      </c>
      <c r="B91" s="1" t="s">
        <v>104</v>
      </c>
      <c r="C91" s="1"/>
      <c r="D91" s="21" t="s">
        <v>1225</v>
      </c>
      <c r="E91" s="1" t="s">
        <v>9</v>
      </c>
      <c r="F91" s="1" t="s">
        <v>1226</v>
      </c>
      <c r="G91" s="1" t="s">
        <v>11</v>
      </c>
      <c r="H91" s="9">
        <f>_xlfn.XLOOKUP(Tabla3[[#This Row],[Nit]],Hoja2!A91:A1514,Hoja2!C91:C1514)</f>
        <v>1000000</v>
      </c>
      <c r="I91" s="1">
        <f>_xlfn.XLOOKUP(Tabla3[[#This Row],[Cliente]],'[1]Datos Contacto'!$A$2:$A$23,'[1]Datos Contacto'!$E$2:$E$23,0,0,1)</f>
        <v>0</v>
      </c>
    </row>
    <row r="92" spans="1:9" x14ac:dyDescent="0.25">
      <c r="A92" s="1">
        <v>94453786</v>
      </c>
      <c r="B92" s="1" t="s">
        <v>105</v>
      </c>
      <c r="C92" s="1"/>
      <c r="D92" s="21" t="s">
        <v>1225</v>
      </c>
      <c r="E92" s="1" t="s">
        <v>9</v>
      </c>
      <c r="F92" s="1" t="s">
        <v>1226</v>
      </c>
      <c r="G92" s="1" t="s">
        <v>11</v>
      </c>
      <c r="H92" s="9">
        <f>_xlfn.XLOOKUP(Tabla3[[#This Row],[Nit]],Hoja2!A92:A1515,Hoja2!C92:C1515)</f>
        <v>1000000</v>
      </c>
      <c r="I92" s="1">
        <f>_xlfn.XLOOKUP(Tabla3[[#This Row],[Cliente]],'[1]Datos Contacto'!$A$2:$A$23,'[1]Datos Contacto'!$E$2:$E$23,0,0,1)</f>
        <v>0</v>
      </c>
    </row>
    <row r="93" spans="1:9" x14ac:dyDescent="0.25">
      <c r="A93" s="1">
        <v>378</v>
      </c>
      <c r="B93" s="1" t="s">
        <v>106</v>
      </c>
      <c r="C93" s="1"/>
      <c r="D93" s="21" t="s">
        <v>1225</v>
      </c>
      <c r="E93" s="1" t="s">
        <v>9</v>
      </c>
      <c r="F93" s="1" t="s">
        <v>1226</v>
      </c>
      <c r="G93" s="1" t="s">
        <v>11</v>
      </c>
      <c r="H93" s="9">
        <f>_xlfn.XLOOKUP(Tabla3[[#This Row],[Nit]],Hoja2!A93:A1516,Hoja2!C93:C1516)</f>
        <v>1000000</v>
      </c>
      <c r="I93" s="1">
        <f>_xlfn.XLOOKUP(Tabla3[[#This Row],[Cliente]],'[1]Datos Contacto'!$A$2:$A$23,'[1]Datos Contacto'!$E$2:$E$23,0,0,1)</f>
        <v>0</v>
      </c>
    </row>
    <row r="94" spans="1:9" x14ac:dyDescent="0.25">
      <c r="A94" s="1">
        <v>103</v>
      </c>
      <c r="B94" s="1" t="s">
        <v>107</v>
      </c>
      <c r="C94" s="1"/>
      <c r="D94" s="21" t="s">
        <v>1225</v>
      </c>
      <c r="E94" s="1" t="s">
        <v>9</v>
      </c>
      <c r="F94" s="1" t="s">
        <v>1226</v>
      </c>
      <c r="G94" s="1" t="s">
        <v>48</v>
      </c>
      <c r="H94" s="9">
        <f>_xlfn.XLOOKUP(Tabla3[[#This Row],[Nit]],Hoja2!A94:A1517,Hoja2!C94:C1517)</f>
        <v>1000000</v>
      </c>
      <c r="I94" s="1">
        <f>_xlfn.XLOOKUP(Tabla3[[#This Row],[Cliente]],'[1]Datos Contacto'!$A$2:$A$23,'[1]Datos Contacto'!$E$2:$E$23,0,0,1)</f>
        <v>0</v>
      </c>
    </row>
    <row r="95" spans="1:9" x14ac:dyDescent="0.25">
      <c r="A95" s="1">
        <v>79382679</v>
      </c>
      <c r="B95" s="1" t="s">
        <v>108</v>
      </c>
      <c r="C95" s="1"/>
      <c r="D95" s="21" t="s">
        <v>1225</v>
      </c>
      <c r="E95" s="1" t="s">
        <v>9</v>
      </c>
      <c r="F95" s="1" t="s">
        <v>1226</v>
      </c>
      <c r="G95" s="1" t="s">
        <v>11</v>
      </c>
      <c r="H95" s="9">
        <f>_xlfn.XLOOKUP(Tabla3[[#This Row],[Nit]],Hoja2!A95:A1518,Hoja2!C95:C1518)</f>
        <v>1000000</v>
      </c>
      <c r="I95" s="1">
        <f>_xlfn.XLOOKUP(Tabla3[[#This Row],[Cliente]],'[1]Datos Contacto'!$A$2:$A$23,'[1]Datos Contacto'!$E$2:$E$23,0,0,1)</f>
        <v>0</v>
      </c>
    </row>
    <row r="96" spans="1:9" x14ac:dyDescent="0.25">
      <c r="A96" s="1">
        <v>900906554</v>
      </c>
      <c r="B96" s="1" t="s">
        <v>109</v>
      </c>
      <c r="C96" s="1" t="s">
        <v>110</v>
      </c>
      <c r="D96" s="21" t="s">
        <v>1225</v>
      </c>
      <c r="E96" s="1" t="s">
        <v>6</v>
      </c>
      <c r="F96" s="1" t="s">
        <v>1226</v>
      </c>
      <c r="G96" s="1" t="s">
        <v>7</v>
      </c>
      <c r="H96" s="9">
        <f>_xlfn.XLOOKUP(Tabla3[[#This Row],[Nit]],Hoja2!A96:A1519,Hoja2!C96:C1519)</f>
        <v>120000000</v>
      </c>
      <c r="I96" s="1" t="str">
        <f>_xlfn.XLOOKUP(Tabla3[[#This Row],[Cliente]],'[1]Datos Contacto'!$A$2:$A$23,'[1]Datos Contacto'!$E$2:$E$23,0,0,1)</f>
        <v>facturacion@cantinala15.com.co</v>
      </c>
    </row>
    <row r="97" spans="1:9" x14ac:dyDescent="0.25">
      <c r="A97" s="1">
        <v>901627338</v>
      </c>
      <c r="B97" s="1" t="s">
        <v>111</v>
      </c>
      <c r="C97" s="1"/>
      <c r="D97" s="21" t="s">
        <v>1225</v>
      </c>
      <c r="E97" s="1" t="s">
        <v>9</v>
      </c>
      <c r="F97" s="1" t="s">
        <v>1226</v>
      </c>
      <c r="G97" s="1" t="s">
        <v>11</v>
      </c>
      <c r="H97" s="9">
        <f>_xlfn.XLOOKUP(Tabla3[[#This Row],[Nit]],Hoja2!A97:A1520,Hoja2!C97:C1520)</f>
        <v>1000000</v>
      </c>
      <c r="I97" s="1">
        <f>_xlfn.XLOOKUP(Tabla3[[#This Row],[Cliente]],'[1]Datos Contacto'!$A$2:$A$23,'[1]Datos Contacto'!$E$2:$E$23,0,0,1)</f>
        <v>0</v>
      </c>
    </row>
    <row r="98" spans="1:9" x14ac:dyDescent="0.25">
      <c r="A98" s="1">
        <v>143</v>
      </c>
      <c r="B98" s="1" t="s">
        <v>112</v>
      </c>
      <c r="C98" s="1"/>
      <c r="D98" s="21" t="s">
        <v>1225</v>
      </c>
      <c r="E98" s="1" t="s">
        <v>9</v>
      </c>
      <c r="F98" s="1" t="s">
        <v>1226</v>
      </c>
      <c r="G98" s="1" t="s">
        <v>11</v>
      </c>
      <c r="H98" s="9">
        <f>_xlfn.XLOOKUP(Tabla3[[#This Row],[Nit]],Hoja2!A98:A1521,Hoja2!C98:C1521)</f>
        <v>1000000</v>
      </c>
      <c r="I98" s="1">
        <f>_xlfn.XLOOKUP(Tabla3[[#This Row],[Cliente]],'[1]Datos Contacto'!$A$2:$A$23,'[1]Datos Contacto'!$E$2:$E$23,0,0,1)</f>
        <v>0</v>
      </c>
    </row>
    <row r="99" spans="1:9" x14ac:dyDescent="0.25">
      <c r="A99" s="1">
        <v>79126370</v>
      </c>
      <c r="B99" s="1" t="s">
        <v>113</v>
      </c>
      <c r="C99" s="1"/>
      <c r="D99" s="21" t="s">
        <v>1225</v>
      </c>
      <c r="E99" s="1" t="s">
        <v>9</v>
      </c>
      <c r="F99" s="1" t="s">
        <v>1226</v>
      </c>
      <c r="G99" s="1" t="s">
        <v>7</v>
      </c>
      <c r="H99" s="9">
        <f>_xlfn.XLOOKUP(Tabla3[[#This Row],[Nit]],Hoja2!A99:A1522,Hoja2!C99:C1522)</f>
        <v>1000000</v>
      </c>
      <c r="I99" s="1">
        <f>_xlfn.XLOOKUP(Tabla3[[#This Row],[Cliente]],'[1]Datos Contacto'!$A$2:$A$23,'[1]Datos Contacto'!$E$2:$E$23,0,0,1)</f>
        <v>0</v>
      </c>
    </row>
    <row r="100" spans="1:9" x14ac:dyDescent="0.25">
      <c r="A100" s="1">
        <v>93392103</v>
      </c>
      <c r="B100" s="1" t="s">
        <v>114</v>
      </c>
      <c r="C100" s="1"/>
      <c r="D100" s="21" t="s">
        <v>1225</v>
      </c>
      <c r="E100" s="1" t="s">
        <v>9</v>
      </c>
      <c r="F100" s="1" t="s">
        <v>1226</v>
      </c>
      <c r="G100" s="1" t="s">
        <v>48</v>
      </c>
      <c r="H100" s="9">
        <f>_xlfn.XLOOKUP(Tabla3[[#This Row],[Nit]],Hoja2!A100:A1523,Hoja2!C100:C1523)</f>
        <v>1000000</v>
      </c>
      <c r="I100" s="1">
        <f>_xlfn.XLOOKUP(Tabla3[[#This Row],[Cliente]],'[1]Datos Contacto'!$A$2:$A$23,'[1]Datos Contacto'!$E$2:$E$23,0,0,1)</f>
        <v>0</v>
      </c>
    </row>
    <row r="101" spans="1:9" x14ac:dyDescent="0.25">
      <c r="A101" s="1">
        <v>451</v>
      </c>
      <c r="B101" s="1" t="s">
        <v>115</v>
      </c>
      <c r="C101" s="1"/>
      <c r="D101" s="21" t="s">
        <v>1225</v>
      </c>
      <c r="E101" s="1" t="s">
        <v>9</v>
      </c>
      <c r="F101" s="1" t="s">
        <v>1226</v>
      </c>
      <c r="G101" s="1" t="s">
        <v>11</v>
      </c>
      <c r="H101" s="9">
        <f>_xlfn.XLOOKUP(Tabla3[[#This Row],[Nit]],Hoja2!A101:A1524,Hoja2!C101:C1524)</f>
        <v>1000000</v>
      </c>
      <c r="I101" s="1">
        <f>_xlfn.XLOOKUP(Tabla3[[#This Row],[Cliente]],'[1]Datos Contacto'!$A$2:$A$23,'[1]Datos Contacto'!$E$2:$E$23,0,0,1)</f>
        <v>0</v>
      </c>
    </row>
    <row r="102" spans="1:9" x14ac:dyDescent="0.25">
      <c r="A102" s="1">
        <v>148</v>
      </c>
      <c r="B102" s="1" t="s">
        <v>116</v>
      </c>
      <c r="C102" s="1"/>
      <c r="D102" s="21" t="s">
        <v>1225</v>
      </c>
      <c r="E102" s="1" t="s">
        <v>9</v>
      </c>
      <c r="F102" s="1" t="s">
        <v>1226</v>
      </c>
      <c r="G102" s="1" t="s">
        <v>15</v>
      </c>
      <c r="H102" s="9">
        <f>_xlfn.XLOOKUP(Tabla3[[#This Row],[Nit]],Hoja2!A102:A1525,Hoja2!C102:C1525)</f>
        <v>1000000</v>
      </c>
      <c r="I102" s="1">
        <f>_xlfn.XLOOKUP(Tabla3[[#This Row],[Cliente]],'[1]Datos Contacto'!$A$2:$A$23,'[1]Datos Contacto'!$E$2:$E$23,0,0,1)</f>
        <v>0</v>
      </c>
    </row>
    <row r="103" spans="1:9" x14ac:dyDescent="0.25">
      <c r="A103" s="1">
        <v>19226024</v>
      </c>
      <c r="B103" s="1" t="s">
        <v>117</v>
      </c>
      <c r="C103" s="1"/>
      <c r="D103" s="21" t="s">
        <v>1225</v>
      </c>
      <c r="E103" s="1" t="s">
        <v>9</v>
      </c>
      <c r="F103" s="1" t="s">
        <v>1226</v>
      </c>
      <c r="G103" s="1" t="s">
        <v>11</v>
      </c>
      <c r="H103" s="9">
        <f>_xlfn.XLOOKUP(Tabla3[[#This Row],[Nit]],Hoja2!A103:A1526,Hoja2!C103:C1526)</f>
        <v>1000000</v>
      </c>
      <c r="I103" s="1">
        <f>_xlfn.XLOOKUP(Tabla3[[#This Row],[Cliente]],'[1]Datos Contacto'!$A$2:$A$23,'[1]Datos Contacto'!$E$2:$E$23,0,0,1)</f>
        <v>0</v>
      </c>
    </row>
    <row r="104" spans="1:9" x14ac:dyDescent="0.25">
      <c r="A104" s="1">
        <v>162</v>
      </c>
      <c r="B104" s="1" t="s">
        <v>118</v>
      </c>
      <c r="C104" s="1"/>
      <c r="D104" s="21" t="s">
        <v>1225</v>
      </c>
      <c r="E104" s="1" t="s">
        <v>9</v>
      </c>
      <c r="F104" s="1" t="s">
        <v>1226</v>
      </c>
      <c r="G104" s="1" t="s">
        <v>15</v>
      </c>
      <c r="H104" s="9">
        <f>_xlfn.XLOOKUP(Tabla3[[#This Row],[Nit]],Hoja2!A104:A1527,Hoja2!C104:C1527)</f>
        <v>1000000</v>
      </c>
      <c r="I104" s="1">
        <f>_xlfn.XLOOKUP(Tabla3[[#This Row],[Cliente]],'[1]Datos Contacto'!$A$2:$A$23,'[1]Datos Contacto'!$E$2:$E$23,0,0,1)</f>
        <v>0</v>
      </c>
    </row>
    <row r="105" spans="1:9" x14ac:dyDescent="0.25">
      <c r="A105" s="1">
        <v>80109859</v>
      </c>
      <c r="B105" s="1" t="s">
        <v>119</v>
      </c>
      <c r="C105" s="1"/>
      <c r="D105" s="21" t="s">
        <v>1225</v>
      </c>
      <c r="E105" s="1" t="s">
        <v>9</v>
      </c>
      <c r="F105" s="1" t="s">
        <v>1226</v>
      </c>
      <c r="G105" s="1" t="s">
        <v>11</v>
      </c>
      <c r="H105" s="9">
        <f>_xlfn.XLOOKUP(Tabla3[[#This Row],[Nit]],Hoja2!A105:A1528,Hoja2!C105:C1528)</f>
        <v>1000000</v>
      </c>
      <c r="I105" s="1">
        <f>_xlfn.XLOOKUP(Tabla3[[#This Row],[Cliente]],'[1]Datos Contacto'!$A$2:$A$23,'[1]Datos Contacto'!$E$2:$E$23,0,0,1)</f>
        <v>0</v>
      </c>
    </row>
    <row r="106" spans="1:9" x14ac:dyDescent="0.25">
      <c r="A106" s="1">
        <v>80854452</v>
      </c>
      <c r="B106" s="1" t="s">
        <v>120</v>
      </c>
      <c r="C106" s="1"/>
      <c r="D106" s="21" t="s">
        <v>1225</v>
      </c>
      <c r="E106" s="1" t="s">
        <v>9</v>
      </c>
      <c r="F106" s="1" t="s">
        <v>1226</v>
      </c>
      <c r="G106" s="1" t="s">
        <v>11</v>
      </c>
      <c r="H106" s="9">
        <f>_xlfn.XLOOKUP(Tabla3[[#This Row],[Nit]],Hoja2!A106:A1529,Hoja2!C106:C1529)</f>
        <v>1000000</v>
      </c>
      <c r="I106" s="1">
        <f>_xlfn.XLOOKUP(Tabla3[[#This Row],[Cliente]],'[1]Datos Contacto'!$A$2:$A$23,'[1]Datos Contacto'!$E$2:$E$23,0,0,1)</f>
        <v>0</v>
      </c>
    </row>
    <row r="107" spans="1:9" x14ac:dyDescent="0.25">
      <c r="A107" s="1">
        <v>1042454473</v>
      </c>
      <c r="B107" s="1" t="s">
        <v>121</v>
      </c>
      <c r="C107" s="1"/>
      <c r="D107" s="21" t="s">
        <v>1225</v>
      </c>
      <c r="E107" s="1" t="s">
        <v>9</v>
      </c>
      <c r="F107" s="1" t="s">
        <v>1226</v>
      </c>
      <c r="G107" s="1" t="s">
        <v>7</v>
      </c>
      <c r="H107" s="9">
        <f>_xlfn.XLOOKUP(Tabla3[[#This Row],[Nit]],Hoja2!A107:A1530,Hoja2!C107:C1530)</f>
        <v>5000000</v>
      </c>
      <c r="I107" s="1">
        <f>_xlfn.XLOOKUP(Tabla3[[#This Row],[Cliente]],'[1]Datos Contacto'!$A$2:$A$23,'[1]Datos Contacto'!$E$2:$E$23,0,0,1)</f>
        <v>0</v>
      </c>
    </row>
    <row r="108" spans="1:9" x14ac:dyDescent="0.25">
      <c r="A108" s="1">
        <v>1057736403</v>
      </c>
      <c r="B108" s="1" t="s">
        <v>122</v>
      </c>
      <c r="C108" s="1"/>
      <c r="D108" s="21" t="s">
        <v>1225</v>
      </c>
      <c r="E108" s="1" t="s">
        <v>9</v>
      </c>
      <c r="F108" s="1" t="s">
        <v>1226</v>
      </c>
      <c r="G108" s="1" t="s">
        <v>7</v>
      </c>
      <c r="H108" s="9">
        <f>_xlfn.XLOOKUP(Tabla3[[#This Row],[Nit]],Hoja2!A108:A1531,Hoja2!C108:C1531)</f>
        <v>1000000</v>
      </c>
      <c r="I108" s="1">
        <f>_xlfn.XLOOKUP(Tabla3[[#This Row],[Cliente]],'[1]Datos Contacto'!$A$2:$A$23,'[1]Datos Contacto'!$E$2:$E$23,0,0,1)</f>
        <v>0</v>
      </c>
    </row>
    <row r="109" spans="1:9" x14ac:dyDescent="0.25">
      <c r="A109" s="1">
        <v>700120413</v>
      </c>
      <c r="B109" s="1" t="s">
        <v>123</v>
      </c>
      <c r="C109" s="1"/>
      <c r="D109" s="21" t="s">
        <v>1225</v>
      </c>
      <c r="E109" s="1" t="s">
        <v>9</v>
      </c>
      <c r="F109" s="1" t="s">
        <v>1226</v>
      </c>
      <c r="G109" s="1" t="s">
        <v>11</v>
      </c>
      <c r="H109" s="9">
        <f>_xlfn.XLOOKUP(Tabla3[[#This Row],[Nit]],Hoja2!A109:A1532,Hoja2!C109:C1532)</f>
        <v>1000000</v>
      </c>
      <c r="I109" s="1">
        <f>_xlfn.XLOOKUP(Tabla3[[#This Row],[Cliente]],'[1]Datos Contacto'!$A$2:$A$23,'[1]Datos Contacto'!$E$2:$E$23,0,0,1)</f>
        <v>0</v>
      </c>
    </row>
    <row r="110" spans="1:9" x14ac:dyDescent="0.25">
      <c r="A110" s="1">
        <v>5554726</v>
      </c>
      <c r="B110" s="1" t="s">
        <v>124</v>
      </c>
      <c r="C110" s="1"/>
      <c r="D110" s="21" t="s">
        <v>1225</v>
      </c>
      <c r="E110" s="1" t="s">
        <v>9</v>
      </c>
      <c r="F110" s="1" t="s">
        <v>1226</v>
      </c>
      <c r="G110" s="1" t="s">
        <v>48</v>
      </c>
      <c r="H110" s="9">
        <f>_xlfn.XLOOKUP(Tabla3[[#This Row],[Nit]],Hoja2!A110:A1533,Hoja2!C110:C1533)</f>
        <v>1000000</v>
      </c>
      <c r="I110" s="1">
        <f>_xlfn.XLOOKUP(Tabla3[[#This Row],[Cliente]],'[1]Datos Contacto'!$A$2:$A$23,'[1]Datos Contacto'!$E$2:$E$23,0,0,1)</f>
        <v>0</v>
      </c>
    </row>
    <row r="111" spans="1:9" x14ac:dyDescent="0.25">
      <c r="A111" s="1">
        <v>80926295</v>
      </c>
      <c r="B111" s="1" t="s">
        <v>125</v>
      </c>
      <c r="C111" s="1"/>
      <c r="D111" s="21" t="s">
        <v>1225</v>
      </c>
      <c r="E111" s="1" t="s">
        <v>9</v>
      </c>
      <c r="F111" s="1" t="s">
        <v>1226</v>
      </c>
      <c r="G111" s="1" t="s">
        <v>15</v>
      </c>
      <c r="H111" s="9">
        <f>_xlfn.XLOOKUP(Tabla3[[#This Row],[Nit]],Hoja2!A111:A1534,Hoja2!C111:C1534)</f>
        <v>1000000</v>
      </c>
      <c r="I111" s="1">
        <f>_xlfn.XLOOKUP(Tabla3[[#This Row],[Cliente]],'[1]Datos Contacto'!$A$2:$A$23,'[1]Datos Contacto'!$E$2:$E$23,0,0,1)</f>
        <v>0</v>
      </c>
    </row>
    <row r="112" spans="1:9" x14ac:dyDescent="0.25">
      <c r="A112" s="1">
        <v>79741482</v>
      </c>
      <c r="B112" s="1" t="s">
        <v>126</v>
      </c>
      <c r="C112" s="1"/>
      <c r="D112" s="21" t="s">
        <v>1225</v>
      </c>
      <c r="E112" s="1" t="s">
        <v>9</v>
      </c>
      <c r="F112" s="1" t="s">
        <v>1226</v>
      </c>
      <c r="G112" s="1" t="s">
        <v>7</v>
      </c>
      <c r="H112" s="9">
        <f>_xlfn.XLOOKUP(Tabla3[[#This Row],[Nit]],Hoja2!A112:A1535,Hoja2!C112:C1535)</f>
        <v>1000000</v>
      </c>
      <c r="I112" s="1">
        <f>_xlfn.XLOOKUP(Tabla3[[#This Row],[Cliente]],'[1]Datos Contacto'!$A$2:$A$23,'[1]Datos Contacto'!$E$2:$E$23,0,0,1)</f>
        <v>0</v>
      </c>
    </row>
    <row r="113" spans="1:9" x14ac:dyDescent="0.25">
      <c r="A113" s="1">
        <v>13761918</v>
      </c>
      <c r="B113" s="1" t="s">
        <v>127</v>
      </c>
      <c r="C113" s="1"/>
      <c r="D113" s="21" t="s">
        <v>1225</v>
      </c>
      <c r="E113" s="1" t="s">
        <v>9</v>
      </c>
      <c r="F113" s="1" t="s">
        <v>1226</v>
      </c>
      <c r="G113" s="1" t="s">
        <v>11</v>
      </c>
      <c r="H113" s="9">
        <f>_xlfn.XLOOKUP(Tabla3[[#This Row],[Nit]],Hoja2!A113:A1536,Hoja2!C113:C1536)</f>
        <v>1000000</v>
      </c>
      <c r="I113" s="1">
        <f>_xlfn.XLOOKUP(Tabla3[[#This Row],[Cliente]],'[1]Datos Contacto'!$A$2:$A$23,'[1]Datos Contacto'!$E$2:$E$23,0,0,1)</f>
        <v>0</v>
      </c>
    </row>
    <row r="114" spans="1:9" x14ac:dyDescent="0.25">
      <c r="A114" s="1">
        <v>10095995</v>
      </c>
      <c r="B114" s="1" t="s">
        <v>128</v>
      </c>
      <c r="C114" s="1"/>
      <c r="D114" s="21" t="s">
        <v>1225</v>
      </c>
      <c r="E114" s="1" t="s">
        <v>9</v>
      </c>
      <c r="F114" s="1" t="s">
        <v>1226</v>
      </c>
      <c r="G114" s="1" t="s">
        <v>11</v>
      </c>
      <c r="H114" s="9">
        <f>_xlfn.XLOOKUP(Tabla3[[#This Row],[Nit]],Hoja2!A114:A1537,Hoja2!C114:C1537)</f>
        <v>1000000</v>
      </c>
      <c r="I114" s="1">
        <f>_xlfn.XLOOKUP(Tabla3[[#This Row],[Cliente]],'[1]Datos Contacto'!$A$2:$A$23,'[1]Datos Contacto'!$E$2:$E$23,0,0,1)</f>
        <v>0</v>
      </c>
    </row>
    <row r="115" spans="1:9" x14ac:dyDescent="0.25">
      <c r="A115" s="1">
        <v>1018433244</v>
      </c>
      <c r="B115" s="1" t="s">
        <v>129</v>
      </c>
      <c r="C115" s="1"/>
      <c r="D115" s="21" t="s">
        <v>1225</v>
      </c>
      <c r="E115" s="1" t="s">
        <v>9</v>
      </c>
      <c r="F115" s="1" t="s">
        <v>1226</v>
      </c>
      <c r="G115" s="1" t="s">
        <v>15</v>
      </c>
      <c r="H115" s="9">
        <f>_xlfn.XLOOKUP(Tabla3[[#This Row],[Nit]],Hoja2!A115:A1538,Hoja2!C115:C1538)</f>
        <v>1000000</v>
      </c>
      <c r="I115" s="1">
        <f>_xlfn.XLOOKUP(Tabla3[[#This Row],[Cliente]],'[1]Datos Contacto'!$A$2:$A$23,'[1]Datos Contacto'!$E$2:$E$23,0,0,1)</f>
        <v>0</v>
      </c>
    </row>
    <row r="116" spans="1:9" x14ac:dyDescent="0.25">
      <c r="A116" s="1">
        <v>51708730</v>
      </c>
      <c r="B116" s="1" t="s">
        <v>130</v>
      </c>
      <c r="C116" s="1"/>
      <c r="D116" s="21" t="s">
        <v>1225</v>
      </c>
      <c r="E116" s="1" t="s">
        <v>9</v>
      </c>
      <c r="F116" s="1" t="s">
        <v>1226</v>
      </c>
      <c r="G116" s="1" t="s">
        <v>20</v>
      </c>
      <c r="H116" s="9">
        <f>_xlfn.XLOOKUP(Tabla3[[#This Row],[Nit]],Hoja2!A116:A1539,Hoja2!C116:C1539)</f>
        <v>1000000</v>
      </c>
      <c r="I116" s="1">
        <f>_xlfn.XLOOKUP(Tabla3[[#This Row],[Cliente]],'[1]Datos Contacto'!$A$2:$A$23,'[1]Datos Contacto'!$E$2:$E$23,0,0,1)</f>
        <v>0</v>
      </c>
    </row>
    <row r="117" spans="1:9" x14ac:dyDescent="0.25">
      <c r="A117" s="1">
        <v>51964062</v>
      </c>
      <c r="B117" s="1" t="s">
        <v>131</v>
      </c>
      <c r="C117" s="1"/>
      <c r="D117" s="21" t="s">
        <v>1225</v>
      </c>
      <c r="E117" s="1" t="s">
        <v>9</v>
      </c>
      <c r="F117" s="1" t="s">
        <v>1226</v>
      </c>
      <c r="G117" s="1" t="s">
        <v>11</v>
      </c>
      <c r="H117" s="9">
        <f>_xlfn.XLOOKUP(Tabla3[[#This Row],[Nit]],Hoja2!A117:A1540,Hoja2!C117:C1540)</f>
        <v>1000000</v>
      </c>
      <c r="I117" s="1">
        <f>_xlfn.XLOOKUP(Tabla3[[#This Row],[Cliente]],'[1]Datos Contacto'!$A$2:$A$23,'[1]Datos Contacto'!$E$2:$E$23,0,0,1)</f>
        <v>0</v>
      </c>
    </row>
    <row r="118" spans="1:9" x14ac:dyDescent="0.25">
      <c r="A118" s="1">
        <v>432</v>
      </c>
      <c r="B118" s="1" t="s">
        <v>132</v>
      </c>
      <c r="C118" s="1"/>
      <c r="D118" s="21" t="s">
        <v>1225</v>
      </c>
      <c r="E118" s="1" t="s">
        <v>9</v>
      </c>
      <c r="F118" s="1" t="s">
        <v>1226</v>
      </c>
      <c r="G118" s="1" t="s">
        <v>11</v>
      </c>
      <c r="H118" s="9">
        <f>_xlfn.XLOOKUP(Tabla3[[#This Row],[Nit]],Hoja2!A118:A1541,Hoja2!C118:C1541)</f>
        <v>1000000</v>
      </c>
      <c r="I118" s="1">
        <f>_xlfn.XLOOKUP(Tabla3[[#This Row],[Cliente]],'[1]Datos Contacto'!$A$2:$A$23,'[1]Datos Contacto'!$E$2:$E$23,0,0,1)</f>
        <v>0</v>
      </c>
    </row>
    <row r="119" spans="1:9" x14ac:dyDescent="0.25">
      <c r="A119" s="1">
        <v>416</v>
      </c>
      <c r="B119" s="1" t="s">
        <v>133</v>
      </c>
      <c r="C119" s="1"/>
      <c r="D119" s="21" t="s">
        <v>1225</v>
      </c>
      <c r="E119" s="1" t="s">
        <v>9</v>
      </c>
      <c r="F119" s="1" t="s">
        <v>1226</v>
      </c>
      <c r="G119" s="1" t="s">
        <v>11</v>
      </c>
      <c r="H119" s="9">
        <f>_xlfn.XLOOKUP(Tabla3[[#This Row],[Nit]],Hoja2!A119:A1542,Hoja2!C119:C1542)</f>
        <v>1000000</v>
      </c>
      <c r="I119" s="1">
        <f>_xlfn.XLOOKUP(Tabla3[[#This Row],[Cliente]],'[1]Datos Contacto'!$A$2:$A$23,'[1]Datos Contacto'!$E$2:$E$23,0,0,1)</f>
        <v>0</v>
      </c>
    </row>
    <row r="120" spans="1:9" x14ac:dyDescent="0.25">
      <c r="A120" s="1">
        <v>441</v>
      </c>
      <c r="B120" s="1" t="s">
        <v>134</v>
      </c>
      <c r="C120" s="1"/>
      <c r="D120" s="21" t="s">
        <v>1225</v>
      </c>
      <c r="E120" s="1" t="s">
        <v>9</v>
      </c>
      <c r="F120" s="1" t="s">
        <v>1226</v>
      </c>
      <c r="G120" s="1" t="s">
        <v>11</v>
      </c>
      <c r="H120" s="9">
        <f>_xlfn.XLOOKUP(Tabla3[[#This Row],[Nit]],Hoja2!A120:A1543,Hoja2!C120:C1543)</f>
        <v>1000000</v>
      </c>
      <c r="I120" s="1">
        <f>_xlfn.XLOOKUP(Tabla3[[#This Row],[Cliente]],'[1]Datos Contacto'!$A$2:$A$23,'[1]Datos Contacto'!$E$2:$E$23,0,0,1)</f>
        <v>0</v>
      </c>
    </row>
    <row r="121" spans="1:9" x14ac:dyDescent="0.25">
      <c r="A121" s="1">
        <v>79049288</v>
      </c>
      <c r="B121" s="1" t="s">
        <v>135</v>
      </c>
      <c r="C121" s="1"/>
      <c r="D121" s="21" t="s">
        <v>1225</v>
      </c>
      <c r="E121" s="1" t="s">
        <v>9</v>
      </c>
      <c r="F121" s="1" t="s">
        <v>1226</v>
      </c>
      <c r="G121" s="1" t="s">
        <v>11</v>
      </c>
      <c r="H121" s="9">
        <f>_xlfn.XLOOKUP(Tabla3[[#This Row],[Nit]],Hoja2!A121:A1544,Hoja2!C121:C1544)</f>
        <v>1000000</v>
      </c>
      <c r="I121" s="1">
        <f>_xlfn.XLOOKUP(Tabla3[[#This Row],[Cliente]],'[1]Datos Contacto'!$A$2:$A$23,'[1]Datos Contacto'!$E$2:$E$23,0,0,1)</f>
        <v>0</v>
      </c>
    </row>
    <row r="122" spans="1:9" x14ac:dyDescent="0.25">
      <c r="A122" s="1">
        <v>231</v>
      </c>
      <c r="B122" s="1" t="s">
        <v>136</v>
      </c>
      <c r="C122" s="1"/>
      <c r="D122" s="21" t="s">
        <v>1225</v>
      </c>
      <c r="E122" s="1" t="s">
        <v>9</v>
      </c>
      <c r="F122" s="1" t="s">
        <v>1226</v>
      </c>
      <c r="G122" s="1" t="s">
        <v>11</v>
      </c>
      <c r="H122" s="9">
        <f>_xlfn.XLOOKUP(Tabla3[[#This Row],[Nit]],Hoja2!A122:A1545,Hoja2!C122:C1545)</f>
        <v>1000000</v>
      </c>
      <c r="I122" s="1">
        <f>_xlfn.XLOOKUP(Tabla3[[#This Row],[Cliente]],'[1]Datos Contacto'!$A$2:$A$23,'[1]Datos Contacto'!$E$2:$E$23,0,0,1)</f>
        <v>0</v>
      </c>
    </row>
    <row r="123" spans="1:9" x14ac:dyDescent="0.25">
      <c r="A123" s="1">
        <v>430</v>
      </c>
      <c r="B123" s="1" t="s">
        <v>137</v>
      </c>
      <c r="C123" s="1"/>
      <c r="D123" s="21" t="s">
        <v>1225</v>
      </c>
      <c r="E123" s="1" t="s">
        <v>9</v>
      </c>
      <c r="F123" s="1" t="s">
        <v>1226</v>
      </c>
      <c r="G123" s="1" t="s">
        <v>11</v>
      </c>
      <c r="H123" s="9">
        <f>_xlfn.XLOOKUP(Tabla3[[#This Row],[Nit]],Hoja2!A123:A1546,Hoja2!C123:C1546)</f>
        <v>1000000</v>
      </c>
      <c r="I123" s="1">
        <f>_xlfn.XLOOKUP(Tabla3[[#This Row],[Cliente]],'[1]Datos Contacto'!$A$2:$A$23,'[1]Datos Contacto'!$E$2:$E$23,0,0,1)</f>
        <v>0</v>
      </c>
    </row>
    <row r="124" spans="1:9" x14ac:dyDescent="0.25">
      <c r="A124" s="1">
        <v>900322614</v>
      </c>
      <c r="B124" s="1" t="s">
        <v>138</v>
      </c>
      <c r="C124" s="1"/>
      <c r="D124" s="21" t="s">
        <v>1225</v>
      </c>
      <c r="E124" s="1" t="s">
        <v>9</v>
      </c>
      <c r="F124" s="1" t="s">
        <v>1226</v>
      </c>
      <c r="G124" s="1" t="s">
        <v>11</v>
      </c>
      <c r="H124" s="9">
        <f>_xlfn.XLOOKUP(Tabla3[[#This Row],[Nit]],Hoja2!A124:A1547,Hoja2!C124:C1547)</f>
        <v>1000000</v>
      </c>
      <c r="I124" s="1">
        <f>_xlfn.XLOOKUP(Tabla3[[#This Row],[Cliente]],'[1]Datos Contacto'!$A$2:$A$23,'[1]Datos Contacto'!$E$2:$E$23,0,0,1)</f>
        <v>0</v>
      </c>
    </row>
    <row r="125" spans="1:9" x14ac:dyDescent="0.25">
      <c r="A125" s="1">
        <v>900249874</v>
      </c>
      <c r="B125" s="1" t="s">
        <v>139</v>
      </c>
      <c r="C125" s="1"/>
      <c r="D125" s="21" t="s">
        <v>1225</v>
      </c>
      <c r="E125" s="1" t="s">
        <v>9</v>
      </c>
      <c r="F125" s="1" t="s">
        <v>1226</v>
      </c>
      <c r="G125" s="1" t="s">
        <v>11</v>
      </c>
      <c r="H125" s="9">
        <f>_xlfn.XLOOKUP(Tabla3[[#This Row],[Nit]],Hoja2!A125:A1548,Hoja2!C125:C1548)</f>
        <v>1000000</v>
      </c>
      <c r="I125" s="1">
        <f>_xlfn.XLOOKUP(Tabla3[[#This Row],[Cliente]],'[1]Datos Contacto'!$A$2:$A$23,'[1]Datos Contacto'!$E$2:$E$23,0,0,1)</f>
        <v>0</v>
      </c>
    </row>
    <row r="126" spans="1:9" x14ac:dyDescent="0.25">
      <c r="A126" s="1">
        <v>900677254</v>
      </c>
      <c r="B126" s="1" t="s">
        <v>140</v>
      </c>
      <c r="C126" s="1"/>
      <c r="D126" s="21" t="s">
        <v>1225</v>
      </c>
      <c r="E126" s="1" t="s">
        <v>9</v>
      </c>
      <c r="F126" s="1" t="s">
        <v>1226</v>
      </c>
      <c r="G126" s="1" t="s">
        <v>11</v>
      </c>
      <c r="H126" s="9">
        <f>_xlfn.XLOOKUP(Tabla3[[#This Row],[Nit]],Hoja2!A126:A1549,Hoja2!C126:C1549)</f>
        <v>1000000</v>
      </c>
      <c r="I126" s="1">
        <f>_xlfn.XLOOKUP(Tabla3[[#This Row],[Cliente]],'[1]Datos Contacto'!$A$2:$A$23,'[1]Datos Contacto'!$E$2:$E$23,0,0,1)</f>
        <v>0</v>
      </c>
    </row>
    <row r="127" spans="1:9" x14ac:dyDescent="0.25">
      <c r="A127" s="1">
        <v>900935589</v>
      </c>
      <c r="B127" s="1" t="s">
        <v>141</v>
      </c>
      <c r="C127" s="1"/>
      <c r="D127" s="21" t="s">
        <v>1225</v>
      </c>
      <c r="E127" s="1" t="s">
        <v>9</v>
      </c>
      <c r="F127" s="1" t="s">
        <v>1226</v>
      </c>
      <c r="G127" s="1" t="s">
        <v>11</v>
      </c>
      <c r="H127" s="9">
        <f>_xlfn.XLOOKUP(Tabla3[[#This Row],[Nit]],Hoja2!A127:A1550,Hoja2!C127:C1550)</f>
        <v>1000000</v>
      </c>
      <c r="I127" s="1">
        <f>_xlfn.XLOOKUP(Tabla3[[#This Row],[Cliente]],'[1]Datos Contacto'!$A$2:$A$23,'[1]Datos Contacto'!$E$2:$E$23,0,0,1)</f>
        <v>0</v>
      </c>
    </row>
    <row r="128" spans="1:9" x14ac:dyDescent="0.25">
      <c r="A128" s="1">
        <v>900798167</v>
      </c>
      <c r="B128" s="1" t="s">
        <v>142</v>
      </c>
      <c r="C128" s="1"/>
      <c r="D128" s="21" t="s">
        <v>1225</v>
      </c>
      <c r="E128" s="1" t="s">
        <v>9</v>
      </c>
      <c r="F128" s="1" t="s">
        <v>1226</v>
      </c>
      <c r="G128" s="1" t="s">
        <v>11</v>
      </c>
      <c r="H128" s="9">
        <f>_xlfn.XLOOKUP(Tabla3[[#This Row],[Nit]],Hoja2!A128:A1551,Hoja2!C128:C1551)</f>
        <v>1000000</v>
      </c>
      <c r="I128" s="1">
        <f>_xlfn.XLOOKUP(Tabla3[[#This Row],[Cliente]],'[1]Datos Contacto'!$A$2:$A$23,'[1]Datos Contacto'!$E$2:$E$23,0,0,1)</f>
        <v>0</v>
      </c>
    </row>
    <row r="129" spans="1:9" x14ac:dyDescent="0.25">
      <c r="A129" s="1">
        <v>900883676</v>
      </c>
      <c r="B129" s="1" t="s">
        <v>143</v>
      </c>
      <c r="C129" s="1"/>
      <c r="D129" s="21" t="s">
        <v>1225</v>
      </c>
      <c r="E129" s="1" t="s">
        <v>9</v>
      </c>
      <c r="F129" s="1" t="s">
        <v>1226</v>
      </c>
      <c r="G129" s="1" t="s">
        <v>36</v>
      </c>
      <c r="H129" s="9">
        <f>_xlfn.XLOOKUP(Tabla3[[#This Row],[Nit]],Hoja2!A129:A1552,Hoja2!C129:C1552)</f>
        <v>1000000</v>
      </c>
      <c r="I129" s="1">
        <f>_xlfn.XLOOKUP(Tabla3[[#This Row],[Cliente]],'[1]Datos Contacto'!$A$2:$A$23,'[1]Datos Contacto'!$E$2:$E$23,0,0,1)</f>
        <v>0</v>
      </c>
    </row>
    <row r="130" spans="1:9" x14ac:dyDescent="0.25">
      <c r="A130" s="1">
        <v>901341477</v>
      </c>
      <c r="B130" s="1" t="s">
        <v>144</v>
      </c>
      <c r="C130" s="1"/>
      <c r="D130" s="21" t="s">
        <v>1225</v>
      </c>
      <c r="E130" s="1" t="s">
        <v>9</v>
      </c>
      <c r="F130" s="1" t="s">
        <v>1226</v>
      </c>
      <c r="G130" s="1" t="s">
        <v>11</v>
      </c>
      <c r="H130" s="9">
        <f>_xlfn.XLOOKUP(Tabla3[[#This Row],[Nit]],Hoja2!A130:A1553,Hoja2!C130:C1553)</f>
        <v>1000000</v>
      </c>
      <c r="I130" s="1">
        <f>_xlfn.XLOOKUP(Tabla3[[#This Row],[Cliente]],'[1]Datos Contacto'!$A$2:$A$23,'[1]Datos Contacto'!$E$2:$E$23,0,0,1)</f>
        <v>0</v>
      </c>
    </row>
    <row r="131" spans="1:9" x14ac:dyDescent="0.25">
      <c r="A131" s="1">
        <v>900715776</v>
      </c>
      <c r="B131" s="1" t="s">
        <v>145</v>
      </c>
      <c r="C131" s="1"/>
      <c r="D131" s="21" t="s">
        <v>1225</v>
      </c>
      <c r="E131" s="1" t="s">
        <v>9</v>
      </c>
      <c r="F131" s="1" t="s">
        <v>1226</v>
      </c>
      <c r="G131" s="1" t="s">
        <v>20</v>
      </c>
      <c r="H131" s="9">
        <f>_xlfn.XLOOKUP(Tabla3[[#This Row],[Nit]],Hoja2!A131:A1554,Hoja2!C131:C1554)</f>
        <v>1000000</v>
      </c>
      <c r="I131" s="1">
        <f>_xlfn.XLOOKUP(Tabla3[[#This Row],[Cliente]],'[1]Datos Contacto'!$A$2:$A$23,'[1]Datos Contacto'!$E$2:$E$23,0,0,1)</f>
        <v>0</v>
      </c>
    </row>
    <row r="132" spans="1:9" x14ac:dyDescent="0.25">
      <c r="A132" s="1">
        <v>458</v>
      </c>
      <c r="B132" s="1" t="s">
        <v>146</v>
      </c>
      <c r="C132" s="1"/>
      <c r="D132" s="21" t="s">
        <v>1225</v>
      </c>
      <c r="E132" s="1" t="s">
        <v>9</v>
      </c>
      <c r="F132" s="1" t="s">
        <v>1226</v>
      </c>
      <c r="G132" s="1" t="s">
        <v>11</v>
      </c>
      <c r="H132" s="9">
        <f>_xlfn.XLOOKUP(Tabla3[[#This Row],[Nit]],Hoja2!A132:A1555,Hoja2!C132:C1555)</f>
        <v>1000000</v>
      </c>
      <c r="I132" s="1">
        <f>_xlfn.XLOOKUP(Tabla3[[#This Row],[Cliente]],'[1]Datos Contacto'!$A$2:$A$23,'[1]Datos Contacto'!$E$2:$E$23,0,0,1)</f>
        <v>0</v>
      </c>
    </row>
    <row r="133" spans="1:9" x14ac:dyDescent="0.25">
      <c r="A133" s="1">
        <v>900648618</v>
      </c>
      <c r="B133" s="1" t="s">
        <v>147</v>
      </c>
      <c r="C133" s="1"/>
      <c r="D133" s="21" t="s">
        <v>1225</v>
      </c>
      <c r="E133" s="1" t="s">
        <v>9</v>
      </c>
      <c r="F133" s="1" t="s">
        <v>1226</v>
      </c>
      <c r="G133" s="1" t="s">
        <v>11</v>
      </c>
      <c r="H133" s="9">
        <f>_xlfn.XLOOKUP(Tabla3[[#This Row],[Nit]],Hoja2!A133:A1556,Hoja2!C133:C1556)</f>
        <v>1000000</v>
      </c>
      <c r="I133" s="1">
        <f>_xlfn.XLOOKUP(Tabla3[[#This Row],[Cliente]],'[1]Datos Contacto'!$A$2:$A$23,'[1]Datos Contacto'!$E$2:$E$23,0,0,1)</f>
        <v>0</v>
      </c>
    </row>
    <row r="134" spans="1:9" x14ac:dyDescent="0.25">
      <c r="A134" s="1">
        <v>901622814</v>
      </c>
      <c r="B134" s="1" t="s">
        <v>148</v>
      </c>
      <c r="C134" s="1"/>
      <c r="D134" s="21" t="s">
        <v>1225</v>
      </c>
      <c r="E134" s="1" t="s">
        <v>9</v>
      </c>
      <c r="F134" s="1" t="s">
        <v>1226</v>
      </c>
      <c r="G134" s="1" t="s">
        <v>11</v>
      </c>
      <c r="H134" s="9">
        <f>_xlfn.XLOOKUP(Tabla3[[#This Row],[Nit]],Hoja2!A134:A1557,Hoja2!C134:C1557)</f>
        <v>1000000</v>
      </c>
      <c r="I134" s="1">
        <f>_xlfn.XLOOKUP(Tabla3[[#This Row],[Cliente]],'[1]Datos Contacto'!$A$2:$A$23,'[1]Datos Contacto'!$E$2:$E$23,0,0,1)</f>
        <v>0</v>
      </c>
    </row>
    <row r="135" spans="1:9" x14ac:dyDescent="0.25">
      <c r="A135" s="1">
        <v>901433459</v>
      </c>
      <c r="B135" s="1" t="s">
        <v>149</v>
      </c>
      <c r="C135" s="1"/>
      <c r="D135" s="21" t="s">
        <v>1225</v>
      </c>
      <c r="E135" s="1" t="s">
        <v>9</v>
      </c>
      <c r="F135" s="1" t="s">
        <v>1226</v>
      </c>
      <c r="G135" s="1" t="s">
        <v>7</v>
      </c>
      <c r="H135" s="9">
        <f>_xlfn.XLOOKUP(Tabla3[[#This Row],[Nit]],Hoja2!A135:A1558,Hoja2!C135:C1558)</f>
        <v>3000000</v>
      </c>
      <c r="I135" s="1">
        <f>_xlfn.XLOOKUP(Tabla3[[#This Row],[Cliente]],'[1]Datos Contacto'!$A$2:$A$23,'[1]Datos Contacto'!$E$2:$E$23,0,0,1)</f>
        <v>0</v>
      </c>
    </row>
    <row r="136" spans="1:9" x14ac:dyDescent="0.25">
      <c r="A136" s="1">
        <v>52349364</v>
      </c>
      <c r="B136" s="1" t="s">
        <v>150</v>
      </c>
      <c r="C136" s="1"/>
      <c r="D136" s="21" t="s">
        <v>1225</v>
      </c>
      <c r="E136" s="1" t="s">
        <v>9</v>
      </c>
      <c r="F136" s="1" t="s">
        <v>1226</v>
      </c>
      <c r="G136" s="1" t="s">
        <v>48</v>
      </c>
      <c r="H136" s="9">
        <f>_xlfn.XLOOKUP(Tabla3[[#This Row],[Nit]],Hoja2!A136:A1559,Hoja2!C136:C1559)</f>
        <v>1000000</v>
      </c>
      <c r="I136" s="1">
        <f>_xlfn.XLOOKUP(Tabla3[[#This Row],[Cliente]],'[1]Datos Contacto'!$A$2:$A$23,'[1]Datos Contacto'!$E$2:$E$23,0,0,1)</f>
        <v>0</v>
      </c>
    </row>
    <row r="137" spans="1:9" x14ac:dyDescent="0.25">
      <c r="A137" s="1">
        <v>830013819</v>
      </c>
      <c r="B137" s="2" t="s">
        <v>151</v>
      </c>
      <c r="C137" s="1"/>
      <c r="D137" s="21" t="s">
        <v>1225</v>
      </c>
      <c r="E137" s="1" t="s">
        <v>79</v>
      </c>
      <c r="F137" s="1" t="s">
        <v>1226</v>
      </c>
      <c r="G137" s="1" t="s">
        <v>7</v>
      </c>
      <c r="H137" s="9">
        <f>_xlfn.XLOOKUP(Tabla3[[#This Row],[Nit]],Hoja2!A137:A1560,Hoja2!C137:C1560)</f>
        <v>10000000</v>
      </c>
      <c r="I137" s="1">
        <f>_xlfn.XLOOKUP(Tabla3[[#This Row],[Cliente]],'[1]Datos Contacto'!$A$2:$A$23,'[1]Datos Contacto'!$E$2:$E$23,0,0,1)</f>
        <v>0</v>
      </c>
    </row>
    <row r="138" spans="1:9" x14ac:dyDescent="0.25">
      <c r="A138" s="1">
        <v>901753589</v>
      </c>
      <c r="B138" s="1" t="s">
        <v>152</v>
      </c>
      <c r="C138" s="1"/>
      <c r="D138" s="21" t="s">
        <v>1225</v>
      </c>
      <c r="E138" s="1" t="s">
        <v>9</v>
      </c>
      <c r="F138" s="1" t="s">
        <v>1226</v>
      </c>
      <c r="G138" s="1" t="s">
        <v>11</v>
      </c>
      <c r="H138" s="9">
        <f>_xlfn.XLOOKUP(Tabla3[[#This Row],[Nit]],Hoja2!A138:A1561,Hoja2!C138:C1561)</f>
        <v>1000000</v>
      </c>
      <c r="I138" s="1">
        <f>_xlfn.XLOOKUP(Tabla3[[#This Row],[Cliente]],'[1]Datos Contacto'!$A$2:$A$23,'[1]Datos Contacto'!$E$2:$E$23,0,0,1)</f>
        <v>0</v>
      </c>
    </row>
    <row r="139" spans="1:9" x14ac:dyDescent="0.25">
      <c r="A139" s="1">
        <v>901578875</v>
      </c>
      <c r="B139" s="1" t="s">
        <v>153</v>
      </c>
      <c r="C139" s="1"/>
      <c r="D139" s="21" t="s">
        <v>1225</v>
      </c>
      <c r="E139" s="1" t="s">
        <v>79</v>
      </c>
      <c r="F139" s="1" t="s">
        <v>1226</v>
      </c>
      <c r="G139" s="1" t="s">
        <v>7</v>
      </c>
      <c r="H139" s="9">
        <f>_xlfn.XLOOKUP(Tabla3[[#This Row],[Nit]],Hoja2!A139:A1562,Hoja2!C139:C1562)</f>
        <v>1000000</v>
      </c>
      <c r="I139" s="1">
        <f>_xlfn.XLOOKUP(Tabla3[[#This Row],[Cliente]],'[1]Datos Contacto'!$A$2:$A$23,'[1]Datos Contacto'!$E$2:$E$23,0,0,1)</f>
        <v>0</v>
      </c>
    </row>
    <row r="140" spans="1:9" x14ac:dyDescent="0.25">
      <c r="A140" s="1">
        <v>900746884</v>
      </c>
      <c r="B140" s="1" t="s">
        <v>154</v>
      </c>
      <c r="C140" s="1"/>
      <c r="D140" s="21" t="s">
        <v>1225</v>
      </c>
      <c r="E140" s="1" t="s">
        <v>9</v>
      </c>
      <c r="F140" s="1" t="s">
        <v>1226</v>
      </c>
      <c r="G140" s="1" t="s">
        <v>20</v>
      </c>
      <c r="H140" s="9">
        <f>_xlfn.XLOOKUP(Tabla3[[#This Row],[Nit]],Hoja2!A140:A1563,Hoja2!C140:C1563)</f>
        <v>1000000</v>
      </c>
      <c r="I140" s="1">
        <f>_xlfn.XLOOKUP(Tabla3[[#This Row],[Cliente]],'[1]Datos Contacto'!$A$2:$A$23,'[1]Datos Contacto'!$E$2:$E$23,0,0,1)</f>
        <v>0</v>
      </c>
    </row>
    <row r="141" spans="1:9" x14ac:dyDescent="0.25">
      <c r="A141" s="1">
        <v>41464810</v>
      </c>
      <c r="B141" s="1" t="s">
        <v>155</v>
      </c>
      <c r="C141" s="1"/>
      <c r="D141" s="21" t="s">
        <v>1225</v>
      </c>
      <c r="E141" s="1" t="s">
        <v>9</v>
      </c>
      <c r="F141" s="1" t="s">
        <v>1226</v>
      </c>
      <c r="G141" s="1" t="s">
        <v>7</v>
      </c>
      <c r="H141" s="9">
        <f>_xlfn.XLOOKUP(Tabla3[[#This Row],[Nit]],Hoja2!A141:A1564,Hoja2!C141:C1564)</f>
        <v>1000000</v>
      </c>
      <c r="I141" s="1">
        <f>_xlfn.XLOOKUP(Tabla3[[#This Row],[Cliente]],'[1]Datos Contacto'!$A$2:$A$23,'[1]Datos Contacto'!$E$2:$E$23,0,0,1)</f>
        <v>0</v>
      </c>
    </row>
    <row r="142" spans="1:9" x14ac:dyDescent="0.25">
      <c r="A142" s="1">
        <v>901692531</v>
      </c>
      <c r="B142" s="2" t="s">
        <v>156</v>
      </c>
      <c r="C142" s="1"/>
      <c r="D142" s="21" t="s">
        <v>1225</v>
      </c>
      <c r="E142" s="1" t="s">
        <v>79</v>
      </c>
      <c r="F142" s="1" t="s">
        <v>1226</v>
      </c>
      <c r="G142" s="1" t="s">
        <v>7</v>
      </c>
      <c r="H142" s="9">
        <f>_xlfn.XLOOKUP(Tabla3[[#This Row],[Nit]],Hoja2!A142:A1565,Hoja2!C142:C1565)</f>
        <v>10000000</v>
      </c>
      <c r="I142" s="1">
        <f>_xlfn.XLOOKUP(Tabla3[[#This Row],[Cliente]],'[1]Datos Contacto'!$A$2:$A$23,'[1]Datos Contacto'!$E$2:$E$23,0,0,1)</f>
        <v>0</v>
      </c>
    </row>
    <row r="143" spans="1:9" x14ac:dyDescent="0.25">
      <c r="A143" s="1">
        <v>1070324937</v>
      </c>
      <c r="B143" s="1" t="s">
        <v>157</v>
      </c>
      <c r="C143" s="1"/>
      <c r="D143" s="21" t="s">
        <v>1225</v>
      </c>
      <c r="E143" s="1" t="s">
        <v>9</v>
      </c>
      <c r="F143" s="1" t="s">
        <v>1226</v>
      </c>
      <c r="G143" s="1" t="s">
        <v>11</v>
      </c>
      <c r="H143" s="9">
        <f>_xlfn.XLOOKUP(Tabla3[[#This Row],[Nit]],Hoja2!A143:A1566,Hoja2!C143:C1566)</f>
        <v>1000000</v>
      </c>
      <c r="I143" s="1">
        <f>_xlfn.XLOOKUP(Tabla3[[#This Row],[Cliente]],'[1]Datos Contacto'!$A$2:$A$23,'[1]Datos Contacto'!$E$2:$E$23,0,0,1)</f>
        <v>0</v>
      </c>
    </row>
    <row r="144" spans="1:9" x14ac:dyDescent="0.25">
      <c r="A144" s="1">
        <v>830028714</v>
      </c>
      <c r="B144" s="1" t="s">
        <v>158</v>
      </c>
      <c r="C144" s="1"/>
      <c r="D144" s="21" t="s">
        <v>1225</v>
      </c>
      <c r="E144" s="1" t="s">
        <v>6</v>
      </c>
      <c r="F144" s="1" t="s">
        <v>1226</v>
      </c>
      <c r="G144" s="1" t="s">
        <v>11</v>
      </c>
      <c r="H144" s="9">
        <f>_xlfn.XLOOKUP(Tabla3[[#This Row],[Nit]],Hoja2!A144:A1567,Hoja2!C144:C1567)</f>
        <v>4000000</v>
      </c>
      <c r="I144" s="1">
        <f>_xlfn.XLOOKUP(Tabla3[[#This Row],[Cliente]],'[1]Datos Contacto'!$A$2:$A$23,'[1]Datos Contacto'!$E$2:$E$23,0,0,1)</f>
        <v>0</v>
      </c>
    </row>
    <row r="145" spans="1:9" x14ac:dyDescent="0.25">
      <c r="A145" s="1">
        <v>390</v>
      </c>
      <c r="B145" s="1" t="s">
        <v>159</v>
      </c>
      <c r="C145" s="1"/>
      <c r="D145" s="21" t="s">
        <v>1225</v>
      </c>
      <c r="E145" s="1" t="s">
        <v>9</v>
      </c>
      <c r="F145" s="1" t="s">
        <v>1226</v>
      </c>
      <c r="G145" s="1" t="s">
        <v>11</v>
      </c>
      <c r="H145" s="9">
        <f>_xlfn.XLOOKUP(Tabla3[[#This Row],[Nit]],Hoja2!A145:A1568,Hoja2!C145:C1568)</f>
        <v>1000000</v>
      </c>
      <c r="I145" s="1">
        <f>_xlfn.XLOOKUP(Tabla3[[#This Row],[Cliente]],'[1]Datos Contacto'!$A$2:$A$23,'[1]Datos Contacto'!$E$2:$E$23,0,0,1)</f>
        <v>0</v>
      </c>
    </row>
    <row r="146" spans="1:9" x14ac:dyDescent="0.25">
      <c r="A146" s="1">
        <v>901752281</v>
      </c>
      <c r="B146" s="1" t="s">
        <v>160</v>
      </c>
      <c r="C146" s="1"/>
      <c r="D146" s="21" t="s">
        <v>1225</v>
      </c>
      <c r="E146" s="1" t="s">
        <v>9</v>
      </c>
      <c r="F146" s="1" t="s">
        <v>1226</v>
      </c>
      <c r="G146" s="1" t="s">
        <v>7</v>
      </c>
      <c r="H146" s="9">
        <f>_xlfn.XLOOKUP(Tabla3[[#This Row],[Nit]],Hoja2!A146:A1569,Hoja2!C146:C1569)</f>
        <v>2000000</v>
      </c>
      <c r="I146" s="1">
        <f>_xlfn.XLOOKUP(Tabla3[[#This Row],[Cliente]],'[1]Datos Contacto'!$A$2:$A$23,'[1]Datos Contacto'!$E$2:$E$23,0,0,1)</f>
        <v>0</v>
      </c>
    </row>
    <row r="147" spans="1:9" x14ac:dyDescent="0.25">
      <c r="A147" s="1">
        <v>900572083</v>
      </c>
      <c r="B147" s="1" t="s">
        <v>161</v>
      </c>
      <c r="C147" s="1"/>
      <c r="D147" s="21" t="s">
        <v>1225</v>
      </c>
      <c r="E147" s="1" t="s">
        <v>9</v>
      </c>
      <c r="F147" s="1" t="s">
        <v>1226</v>
      </c>
      <c r="G147" s="1" t="s">
        <v>20</v>
      </c>
      <c r="H147" s="9">
        <f>_xlfn.XLOOKUP(Tabla3[[#This Row],[Nit]],Hoja2!A147:A1570,Hoja2!C147:C1570)</f>
        <v>1000000</v>
      </c>
      <c r="I147" s="1">
        <f>_xlfn.XLOOKUP(Tabla3[[#This Row],[Cliente]],'[1]Datos Contacto'!$A$2:$A$23,'[1]Datos Contacto'!$E$2:$E$23,0,0,1)</f>
        <v>0</v>
      </c>
    </row>
    <row r="148" spans="1:9" x14ac:dyDescent="0.25">
      <c r="A148" s="1">
        <v>900127662</v>
      </c>
      <c r="B148" s="1" t="s">
        <v>162</v>
      </c>
      <c r="C148" s="1"/>
      <c r="D148" s="21" t="s">
        <v>1225</v>
      </c>
      <c r="E148" s="1" t="s">
        <v>6</v>
      </c>
      <c r="F148" s="1" t="s">
        <v>1226</v>
      </c>
      <c r="G148" s="1" t="s">
        <v>7</v>
      </c>
      <c r="H148" s="9">
        <f>_xlfn.XLOOKUP(Tabla3[[#This Row],[Nit]],Hoja2!A148:A1571,Hoja2!C148:C1571)</f>
        <v>30000000</v>
      </c>
      <c r="I148" s="1">
        <f>_xlfn.XLOOKUP(Tabla3[[#This Row],[Cliente]],'[1]Datos Contacto'!$A$2:$A$23,'[1]Datos Contacto'!$E$2:$E$23,0,0,1)</f>
        <v>0</v>
      </c>
    </row>
    <row r="149" spans="1:9" x14ac:dyDescent="0.25">
      <c r="A149" s="1">
        <v>1031156372</v>
      </c>
      <c r="B149" s="1" t="s">
        <v>163</v>
      </c>
      <c r="C149" s="1"/>
      <c r="D149" s="21" t="s">
        <v>1225</v>
      </c>
      <c r="E149" s="1" t="s">
        <v>9</v>
      </c>
      <c r="F149" s="1" t="s">
        <v>1226</v>
      </c>
      <c r="G149" s="1" t="s">
        <v>48</v>
      </c>
      <c r="H149" s="9">
        <f>_xlfn.XLOOKUP(Tabla3[[#This Row],[Nit]],Hoja2!A149:A1572,Hoja2!C149:C1572)</f>
        <v>1000000</v>
      </c>
      <c r="I149" s="1">
        <f>_xlfn.XLOOKUP(Tabla3[[#This Row],[Cliente]],'[1]Datos Contacto'!$A$2:$A$23,'[1]Datos Contacto'!$E$2:$E$23,0,0,1)</f>
        <v>0</v>
      </c>
    </row>
    <row r="150" spans="1:9" x14ac:dyDescent="0.25">
      <c r="A150" s="1">
        <v>901523770</v>
      </c>
      <c r="B150" s="1" t="s">
        <v>164</v>
      </c>
      <c r="C150" s="1"/>
      <c r="D150" s="21" t="s">
        <v>1225</v>
      </c>
      <c r="E150" s="1" t="s">
        <v>9</v>
      </c>
      <c r="F150" s="1" t="s">
        <v>1226</v>
      </c>
      <c r="G150" s="1" t="s">
        <v>36</v>
      </c>
      <c r="H150" s="9">
        <f>_xlfn.XLOOKUP(Tabla3[[#This Row],[Nit]],Hoja2!A150:A1573,Hoja2!C150:C1573)</f>
        <v>1000000</v>
      </c>
      <c r="I150" s="1">
        <f>_xlfn.XLOOKUP(Tabla3[[#This Row],[Cliente]],'[1]Datos Contacto'!$A$2:$A$23,'[1]Datos Contacto'!$E$2:$E$23,0,0,1)</f>
        <v>0</v>
      </c>
    </row>
    <row r="151" spans="1:9" x14ac:dyDescent="0.25">
      <c r="A151" s="1">
        <v>900561159</v>
      </c>
      <c r="B151" s="1" t="s">
        <v>165</v>
      </c>
      <c r="C151" s="1"/>
      <c r="D151" s="21" t="s">
        <v>1225</v>
      </c>
      <c r="E151" s="1" t="s">
        <v>9</v>
      </c>
      <c r="F151" s="1" t="s">
        <v>1226</v>
      </c>
      <c r="G151" s="1" t="s">
        <v>7</v>
      </c>
      <c r="H151" s="9">
        <f>_xlfn.XLOOKUP(Tabla3[[#This Row],[Nit]],Hoja2!A151:A1574,Hoja2!C151:C1574)</f>
        <v>1000000</v>
      </c>
      <c r="I151" s="1">
        <f>_xlfn.XLOOKUP(Tabla3[[#This Row],[Cliente]],'[1]Datos Contacto'!$A$2:$A$23,'[1]Datos Contacto'!$E$2:$E$23,0,0,1)</f>
        <v>0</v>
      </c>
    </row>
    <row r="152" spans="1:9" x14ac:dyDescent="0.25">
      <c r="A152" s="1">
        <v>1024575837</v>
      </c>
      <c r="B152" s="1" t="s">
        <v>166</v>
      </c>
      <c r="C152" s="1"/>
      <c r="D152" s="21" t="s">
        <v>1225</v>
      </c>
      <c r="E152" s="1" t="s">
        <v>9</v>
      </c>
      <c r="F152" s="1" t="s">
        <v>1226</v>
      </c>
      <c r="G152" s="1" t="s">
        <v>11</v>
      </c>
      <c r="H152" s="9">
        <f>_xlfn.XLOOKUP(Tabla3[[#This Row],[Nit]],Hoja2!A152:A1575,Hoja2!C152:C1575)</f>
        <v>1000000</v>
      </c>
      <c r="I152" s="1">
        <f>_xlfn.XLOOKUP(Tabla3[[#This Row],[Cliente]],'[1]Datos Contacto'!$A$2:$A$23,'[1]Datos Contacto'!$E$2:$E$23,0,0,1)</f>
        <v>0</v>
      </c>
    </row>
    <row r="153" spans="1:9" x14ac:dyDescent="0.25">
      <c r="A153" s="1">
        <v>5697798</v>
      </c>
      <c r="B153" s="1" t="s">
        <v>167</v>
      </c>
      <c r="C153" s="1"/>
      <c r="D153" s="21" t="s">
        <v>1225</v>
      </c>
      <c r="E153" s="1" t="s">
        <v>9</v>
      </c>
      <c r="F153" s="1" t="s">
        <v>1226</v>
      </c>
      <c r="G153" s="1" t="s">
        <v>7</v>
      </c>
      <c r="H153" s="9">
        <f>_xlfn.XLOOKUP(Tabla3[[#This Row],[Nit]],Hoja2!A153:A1576,Hoja2!C153:C1576)</f>
        <v>1000000</v>
      </c>
      <c r="I153" s="1">
        <f>_xlfn.XLOOKUP(Tabla3[[#This Row],[Cliente]],'[1]Datos Contacto'!$A$2:$A$23,'[1]Datos Contacto'!$E$2:$E$23,0,0,1)</f>
        <v>0</v>
      </c>
    </row>
    <row r="154" spans="1:9" x14ac:dyDescent="0.25">
      <c r="A154" s="1">
        <v>41365050</v>
      </c>
      <c r="B154" s="1" t="s">
        <v>168</v>
      </c>
      <c r="C154" s="1"/>
      <c r="D154" s="21" t="s">
        <v>1225</v>
      </c>
      <c r="E154" s="1" t="s">
        <v>9</v>
      </c>
      <c r="F154" s="1" t="s">
        <v>1226</v>
      </c>
      <c r="G154" s="1" t="s">
        <v>48</v>
      </c>
      <c r="H154" s="9">
        <f>_xlfn.XLOOKUP(Tabla3[[#This Row],[Nit]],Hoja2!A154:A1577,Hoja2!C154:C1577)</f>
        <v>1000000</v>
      </c>
      <c r="I154" s="1">
        <f>_xlfn.XLOOKUP(Tabla3[[#This Row],[Cliente]],'[1]Datos Contacto'!$A$2:$A$23,'[1]Datos Contacto'!$E$2:$E$23,0,0,1)</f>
        <v>0</v>
      </c>
    </row>
    <row r="155" spans="1:9" x14ac:dyDescent="0.25">
      <c r="A155" s="1">
        <v>52783549</v>
      </c>
      <c r="B155" s="1" t="s">
        <v>169</v>
      </c>
      <c r="C155" s="1"/>
      <c r="D155" s="21" t="s">
        <v>1225</v>
      </c>
      <c r="E155" s="1" t="s">
        <v>9</v>
      </c>
      <c r="F155" s="1" t="s">
        <v>1226</v>
      </c>
      <c r="G155" s="1" t="s">
        <v>7</v>
      </c>
      <c r="H155" s="9">
        <f>_xlfn.XLOOKUP(Tabla3[[#This Row],[Nit]],Hoja2!A155:A1578,Hoja2!C155:C1578)</f>
        <v>1000000</v>
      </c>
      <c r="I155" s="1">
        <f>_xlfn.XLOOKUP(Tabla3[[#This Row],[Cliente]],'[1]Datos Contacto'!$A$2:$A$23,'[1]Datos Contacto'!$E$2:$E$23,0,0,1)</f>
        <v>0</v>
      </c>
    </row>
    <row r="156" spans="1:9" x14ac:dyDescent="0.25">
      <c r="A156" s="1">
        <v>52779064</v>
      </c>
      <c r="B156" s="1" t="s">
        <v>170</v>
      </c>
      <c r="C156" s="1"/>
      <c r="D156" s="21" t="s">
        <v>1225</v>
      </c>
      <c r="E156" s="1" t="s">
        <v>9</v>
      </c>
      <c r="F156" s="1" t="s">
        <v>1226</v>
      </c>
      <c r="G156" s="1" t="s">
        <v>11</v>
      </c>
      <c r="H156" s="9">
        <f>_xlfn.XLOOKUP(Tabla3[[#This Row],[Nit]],Hoja2!A156:A1579,Hoja2!C156:C1579)</f>
        <v>1000000</v>
      </c>
      <c r="I156" s="1">
        <f>_xlfn.XLOOKUP(Tabla3[[#This Row],[Cliente]],'[1]Datos Contacto'!$A$2:$A$23,'[1]Datos Contacto'!$E$2:$E$23,0,0,1)</f>
        <v>0</v>
      </c>
    </row>
    <row r="157" spans="1:9" x14ac:dyDescent="0.25">
      <c r="A157" s="1">
        <v>52341425</v>
      </c>
      <c r="B157" s="1" t="s">
        <v>171</v>
      </c>
      <c r="C157" s="1"/>
      <c r="D157" s="21" t="s">
        <v>1225</v>
      </c>
      <c r="E157" s="1" t="s">
        <v>9</v>
      </c>
      <c r="F157" s="1" t="s">
        <v>1226</v>
      </c>
      <c r="G157" s="1" t="s">
        <v>11</v>
      </c>
      <c r="H157" s="9">
        <f>_xlfn.XLOOKUP(Tabla3[[#This Row],[Nit]],Hoja2!A157:A1580,Hoja2!C157:C1580)</f>
        <v>1000000</v>
      </c>
      <c r="I157" s="1">
        <f>_xlfn.XLOOKUP(Tabla3[[#This Row],[Cliente]],'[1]Datos Contacto'!$A$2:$A$23,'[1]Datos Contacto'!$E$2:$E$23,0,0,1)</f>
        <v>0</v>
      </c>
    </row>
    <row r="158" spans="1:9" x14ac:dyDescent="0.25">
      <c r="A158" s="1">
        <v>1032360504</v>
      </c>
      <c r="B158" s="1" t="s">
        <v>172</v>
      </c>
      <c r="C158" s="1"/>
      <c r="D158" s="21" t="s">
        <v>1225</v>
      </c>
      <c r="E158" s="1" t="s">
        <v>9</v>
      </c>
      <c r="F158" s="1" t="s">
        <v>1226</v>
      </c>
      <c r="G158" s="1" t="s">
        <v>11</v>
      </c>
      <c r="H158" s="9">
        <f>_xlfn.XLOOKUP(Tabla3[[#This Row],[Nit]],Hoja2!A158:A1581,Hoja2!C158:C1581)</f>
        <v>1000000</v>
      </c>
      <c r="I158" s="1">
        <f>_xlfn.XLOOKUP(Tabla3[[#This Row],[Cliente]],'[1]Datos Contacto'!$A$2:$A$23,'[1]Datos Contacto'!$E$2:$E$23,0,0,1)</f>
        <v>0</v>
      </c>
    </row>
    <row r="159" spans="1:9" x14ac:dyDescent="0.25">
      <c r="A159" s="1">
        <v>52707469</v>
      </c>
      <c r="B159" s="1" t="s">
        <v>173</v>
      </c>
      <c r="C159" s="1"/>
      <c r="D159" s="21" t="s">
        <v>1225</v>
      </c>
      <c r="E159" s="1" t="s">
        <v>9</v>
      </c>
      <c r="F159" s="1" t="s">
        <v>1226</v>
      </c>
      <c r="G159" s="1" t="s">
        <v>7</v>
      </c>
      <c r="H159" s="9">
        <f>_xlfn.XLOOKUP(Tabla3[[#This Row],[Nit]],Hoja2!A159:A1582,Hoja2!C159:C1582)</f>
        <v>1000000</v>
      </c>
      <c r="I159" s="1">
        <f>_xlfn.XLOOKUP(Tabla3[[#This Row],[Cliente]],'[1]Datos Contacto'!$A$2:$A$23,'[1]Datos Contacto'!$E$2:$E$23,0,0,1)</f>
        <v>0</v>
      </c>
    </row>
    <row r="160" spans="1:9" x14ac:dyDescent="0.25">
      <c r="A160" s="1">
        <v>100</v>
      </c>
      <c r="B160" s="1" t="s">
        <v>174</v>
      </c>
      <c r="C160" s="1"/>
      <c r="D160" s="21" t="s">
        <v>1225</v>
      </c>
      <c r="E160" s="1" t="s">
        <v>9</v>
      </c>
      <c r="F160" s="1" t="s">
        <v>1226</v>
      </c>
      <c r="G160" s="1" t="s">
        <v>11</v>
      </c>
      <c r="H160" s="9">
        <f>_xlfn.XLOOKUP(Tabla3[[#This Row],[Nit]],Hoja2!A160:A1583,Hoja2!C160:C1583)</f>
        <v>1000000</v>
      </c>
      <c r="I160" s="1">
        <f>_xlfn.XLOOKUP(Tabla3[[#This Row],[Cliente]],'[1]Datos Contacto'!$A$2:$A$23,'[1]Datos Contacto'!$E$2:$E$23,0,0,1)</f>
        <v>0</v>
      </c>
    </row>
    <row r="161" spans="1:9" x14ac:dyDescent="0.25">
      <c r="A161" s="1">
        <v>120</v>
      </c>
      <c r="B161" s="1" t="s">
        <v>175</v>
      </c>
      <c r="C161" s="1"/>
      <c r="D161" s="21" t="s">
        <v>1225</v>
      </c>
      <c r="E161" s="1" t="s">
        <v>9</v>
      </c>
      <c r="F161" s="1" t="s">
        <v>1226</v>
      </c>
      <c r="G161" s="1" t="s">
        <v>11</v>
      </c>
      <c r="H161" s="9">
        <f>_xlfn.XLOOKUP(Tabla3[[#This Row],[Nit]],Hoja2!A161:A1584,Hoja2!C161:C1584)</f>
        <v>1000000</v>
      </c>
      <c r="I161" s="1">
        <f>_xlfn.XLOOKUP(Tabla3[[#This Row],[Cliente]],'[1]Datos Contacto'!$A$2:$A$23,'[1]Datos Contacto'!$E$2:$E$23,0,0,1)</f>
        <v>0</v>
      </c>
    </row>
    <row r="162" spans="1:9" x14ac:dyDescent="0.25">
      <c r="A162" s="1">
        <v>105</v>
      </c>
      <c r="B162" s="1" t="s">
        <v>176</v>
      </c>
      <c r="C162" s="1"/>
      <c r="D162" s="21" t="s">
        <v>1225</v>
      </c>
      <c r="E162" s="1" t="s">
        <v>9</v>
      </c>
      <c r="F162" s="1" t="s">
        <v>1226</v>
      </c>
      <c r="G162" s="1" t="s">
        <v>48</v>
      </c>
      <c r="H162" s="9">
        <f>_xlfn.XLOOKUP(Tabla3[[#This Row],[Nit]],Hoja2!A162:A1585,Hoja2!C162:C1585)</f>
        <v>1000000</v>
      </c>
      <c r="I162" s="1">
        <f>_xlfn.XLOOKUP(Tabla3[[#This Row],[Cliente]],'[1]Datos Contacto'!$A$2:$A$23,'[1]Datos Contacto'!$E$2:$E$23,0,0,1)</f>
        <v>0</v>
      </c>
    </row>
    <row r="163" spans="1:9" x14ac:dyDescent="0.25">
      <c r="A163" s="1">
        <v>800160827</v>
      </c>
      <c r="B163" s="2" t="s">
        <v>177</v>
      </c>
      <c r="C163" s="1"/>
      <c r="D163" s="21" t="s">
        <v>1225</v>
      </c>
      <c r="E163" s="1" t="s">
        <v>79</v>
      </c>
      <c r="F163" s="1" t="s">
        <v>1226</v>
      </c>
      <c r="G163" s="1" t="s">
        <v>7</v>
      </c>
      <c r="H163" s="9">
        <f>_xlfn.XLOOKUP(Tabla3[[#This Row],[Nit]],Hoja2!A163:A1586,Hoja2!C163:C1586)</f>
        <v>3000000</v>
      </c>
      <c r="I163" s="1">
        <f>_xlfn.XLOOKUP(Tabla3[[#This Row],[Cliente]],'[1]Datos Contacto'!$A$2:$A$23,'[1]Datos Contacto'!$E$2:$E$23,0,0,1)</f>
        <v>0</v>
      </c>
    </row>
    <row r="164" spans="1:9" x14ac:dyDescent="0.25">
      <c r="A164" s="1">
        <v>900481214</v>
      </c>
      <c r="B164" s="1" t="s">
        <v>178</v>
      </c>
      <c r="C164" s="1"/>
      <c r="D164" s="21" t="s">
        <v>1225</v>
      </c>
      <c r="E164" s="1" t="s">
        <v>9</v>
      </c>
      <c r="F164" s="1" t="s">
        <v>1226</v>
      </c>
      <c r="G164" s="1" t="s">
        <v>7</v>
      </c>
      <c r="H164" s="9">
        <f>_xlfn.XLOOKUP(Tabla3[[#This Row],[Nit]],Hoja2!A164:A1587,Hoja2!C164:C1587)</f>
        <v>1000000</v>
      </c>
      <c r="I164" s="1">
        <f>_xlfn.XLOOKUP(Tabla3[[#This Row],[Cliente]],'[1]Datos Contacto'!$A$2:$A$23,'[1]Datos Contacto'!$E$2:$E$23,0,0,1)</f>
        <v>0</v>
      </c>
    </row>
    <row r="165" spans="1:9" x14ac:dyDescent="0.25">
      <c r="A165" s="1">
        <v>901047072</v>
      </c>
      <c r="B165" s="1" t="s">
        <v>179</v>
      </c>
      <c r="C165" s="1"/>
      <c r="D165" s="21" t="s">
        <v>1225</v>
      </c>
      <c r="E165" s="1" t="s">
        <v>6</v>
      </c>
      <c r="F165" s="1" t="s">
        <v>1226</v>
      </c>
      <c r="G165" s="1" t="s">
        <v>7</v>
      </c>
      <c r="H165" s="9">
        <f>_xlfn.XLOOKUP(Tabla3[[#This Row],[Nit]],Hoja2!A165:A1588,Hoja2!C165:C1588)</f>
        <v>20000000</v>
      </c>
      <c r="I165" s="1">
        <f>_xlfn.XLOOKUP(Tabla3[[#This Row],[Cliente]],'[1]Datos Contacto'!$A$2:$A$23,'[1]Datos Contacto'!$E$2:$E$23,0,0,1)</f>
        <v>0</v>
      </c>
    </row>
    <row r="166" spans="1:9" x14ac:dyDescent="0.25">
      <c r="A166" s="1">
        <v>900427201</v>
      </c>
      <c r="B166" s="1" t="s">
        <v>180</v>
      </c>
      <c r="C166" s="1"/>
      <c r="D166" s="21" t="s">
        <v>1225</v>
      </c>
      <c r="E166" s="1" t="s">
        <v>9</v>
      </c>
      <c r="F166" s="1" t="s">
        <v>1226</v>
      </c>
      <c r="G166" s="1" t="s">
        <v>11</v>
      </c>
      <c r="H166" s="9">
        <f>_xlfn.XLOOKUP(Tabla3[[#This Row],[Nit]],Hoja2!A166:A1589,Hoja2!C166:C1589)</f>
        <v>1000000</v>
      </c>
      <c r="I166" s="1">
        <f>_xlfn.XLOOKUP(Tabla3[[#This Row],[Cliente]],'[1]Datos Contacto'!$A$2:$A$23,'[1]Datos Contacto'!$E$2:$E$23,0,0,1)</f>
        <v>0</v>
      </c>
    </row>
    <row r="167" spans="1:9" x14ac:dyDescent="0.25">
      <c r="A167" s="1">
        <v>901170719</v>
      </c>
      <c r="B167" s="1" t="s">
        <v>181</v>
      </c>
      <c r="C167" s="1"/>
      <c r="D167" s="21" t="s">
        <v>1225</v>
      </c>
      <c r="E167" s="1" t="s">
        <v>9</v>
      </c>
      <c r="F167" s="1" t="s">
        <v>1226</v>
      </c>
      <c r="G167" s="1" t="s">
        <v>20</v>
      </c>
      <c r="H167" s="9">
        <f>_xlfn.XLOOKUP(Tabla3[[#This Row],[Nit]],Hoja2!A167:A1590,Hoja2!C167:C1590)</f>
        <v>1000000</v>
      </c>
      <c r="I167" s="1">
        <f>_xlfn.XLOOKUP(Tabla3[[#This Row],[Cliente]],'[1]Datos Contacto'!$A$2:$A$23,'[1]Datos Contacto'!$E$2:$E$23,0,0,1)</f>
        <v>0</v>
      </c>
    </row>
    <row r="168" spans="1:9" x14ac:dyDescent="0.25">
      <c r="A168" s="1">
        <v>901486508</v>
      </c>
      <c r="B168" s="1" t="s">
        <v>182</v>
      </c>
      <c r="C168" s="1"/>
      <c r="D168" s="21" t="s">
        <v>1225</v>
      </c>
      <c r="E168" s="1" t="s">
        <v>9</v>
      </c>
      <c r="F168" s="1" t="s">
        <v>1226</v>
      </c>
      <c r="G168" s="1" t="s">
        <v>20</v>
      </c>
      <c r="H168" s="9">
        <f>_xlfn.XLOOKUP(Tabla3[[#This Row],[Nit]],Hoja2!A168:A1591,Hoja2!C168:C1591)</f>
        <v>1000000</v>
      </c>
      <c r="I168" s="1">
        <f>_xlfn.XLOOKUP(Tabla3[[#This Row],[Cliente]],'[1]Datos Contacto'!$A$2:$A$23,'[1]Datos Contacto'!$E$2:$E$23,0,0,1)</f>
        <v>0</v>
      </c>
    </row>
    <row r="169" spans="1:9" x14ac:dyDescent="0.25">
      <c r="A169" s="1">
        <v>900450117</v>
      </c>
      <c r="B169" s="2" t="s">
        <v>183</v>
      </c>
      <c r="C169" s="1"/>
      <c r="D169" s="21" t="s">
        <v>1225</v>
      </c>
      <c r="E169" s="1" t="s">
        <v>79</v>
      </c>
      <c r="F169" s="1" t="s">
        <v>1226</v>
      </c>
      <c r="G169" s="1" t="s">
        <v>11</v>
      </c>
      <c r="H169" s="9">
        <f>_xlfn.XLOOKUP(Tabla3[[#This Row],[Nit]],Hoja2!A169:A1592,Hoja2!C169:C1592)</f>
        <v>1000000</v>
      </c>
      <c r="I169" s="1">
        <f>_xlfn.XLOOKUP(Tabla3[[#This Row],[Cliente]],'[1]Datos Contacto'!$A$2:$A$23,'[1]Datos Contacto'!$E$2:$E$23,0,0,1)</f>
        <v>0</v>
      </c>
    </row>
    <row r="170" spans="1:9" x14ac:dyDescent="0.25">
      <c r="A170" s="1">
        <v>800127343</v>
      </c>
      <c r="B170" s="1" t="s">
        <v>184</v>
      </c>
      <c r="C170" s="1"/>
      <c r="D170" s="21" t="s">
        <v>1225</v>
      </c>
      <c r="E170" s="1" t="s">
        <v>9</v>
      </c>
      <c r="F170" s="1" t="s">
        <v>1226</v>
      </c>
      <c r="G170" s="1" t="s">
        <v>11</v>
      </c>
      <c r="H170" s="9">
        <f>_xlfn.XLOOKUP(Tabla3[[#This Row],[Nit]],Hoja2!A170:A1593,Hoja2!C170:C1593)</f>
        <v>1000000</v>
      </c>
      <c r="I170" s="1">
        <f>_xlfn.XLOOKUP(Tabla3[[#This Row],[Cliente]],'[1]Datos Contacto'!$A$2:$A$23,'[1]Datos Contacto'!$E$2:$E$23,0,0,1)</f>
        <v>0</v>
      </c>
    </row>
    <row r="171" spans="1:9" x14ac:dyDescent="0.25">
      <c r="A171" s="1">
        <v>900276879</v>
      </c>
      <c r="B171" s="1" t="s">
        <v>185</v>
      </c>
      <c r="C171" s="1"/>
      <c r="D171" s="21" t="s">
        <v>1225</v>
      </c>
      <c r="E171" s="1" t="s">
        <v>9</v>
      </c>
      <c r="F171" s="1" t="s">
        <v>1226</v>
      </c>
      <c r="G171" s="1" t="s">
        <v>20</v>
      </c>
      <c r="H171" s="9">
        <f>_xlfn.XLOOKUP(Tabla3[[#This Row],[Nit]],Hoja2!A171:A1594,Hoja2!C171:C1594)</f>
        <v>1000000</v>
      </c>
      <c r="I171" s="1">
        <f>_xlfn.XLOOKUP(Tabla3[[#This Row],[Cliente]],'[1]Datos Contacto'!$A$2:$A$23,'[1]Datos Contacto'!$E$2:$E$23,0,0,1)</f>
        <v>0</v>
      </c>
    </row>
    <row r="172" spans="1:9" x14ac:dyDescent="0.25">
      <c r="A172" s="1">
        <v>900612583</v>
      </c>
      <c r="B172" s="1" t="s">
        <v>186</v>
      </c>
      <c r="C172" s="1"/>
      <c r="D172" s="21" t="s">
        <v>1225</v>
      </c>
      <c r="E172" s="1" t="s">
        <v>9</v>
      </c>
      <c r="F172" s="1" t="s">
        <v>1226</v>
      </c>
      <c r="G172" s="1" t="s">
        <v>20</v>
      </c>
      <c r="H172" s="9">
        <f>_xlfn.XLOOKUP(Tabla3[[#This Row],[Nit]],Hoja2!A172:A1595,Hoja2!C172:C1595)</f>
        <v>1000000</v>
      </c>
      <c r="I172" s="1">
        <f>_xlfn.XLOOKUP(Tabla3[[#This Row],[Cliente]],'[1]Datos Contacto'!$A$2:$A$23,'[1]Datos Contacto'!$E$2:$E$23,0,0,1)</f>
        <v>0</v>
      </c>
    </row>
    <row r="173" spans="1:9" x14ac:dyDescent="0.25">
      <c r="A173" s="1">
        <v>830508167</v>
      </c>
      <c r="B173" s="1" t="s">
        <v>187</v>
      </c>
      <c r="C173" s="1"/>
      <c r="D173" s="21" t="s">
        <v>1225</v>
      </c>
      <c r="E173" s="1" t="s">
        <v>9</v>
      </c>
      <c r="F173" s="1" t="s">
        <v>1226</v>
      </c>
      <c r="G173" s="1" t="s">
        <v>7</v>
      </c>
      <c r="H173" s="9">
        <f>_xlfn.XLOOKUP(Tabla3[[#This Row],[Nit]],Hoja2!A173:A1596,Hoja2!C173:C1596)</f>
        <v>20000000</v>
      </c>
      <c r="I173" s="1">
        <f>_xlfn.XLOOKUP(Tabla3[[#This Row],[Cliente]],'[1]Datos Contacto'!$A$2:$A$23,'[1]Datos Contacto'!$E$2:$E$23,0,0,1)</f>
        <v>0</v>
      </c>
    </row>
    <row r="174" spans="1:9" x14ac:dyDescent="0.25">
      <c r="A174" s="1">
        <v>830065004</v>
      </c>
      <c r="B174" s="1" t="s">
        <v>188</v>
      </c>
      <c r="C174" s="1"/>
      <c r="D174" s="21" t="s">
        <v>1225</v>
      </c>
      <c r="E174" s="1" t="s">
        <v>6</v>
      </c>
      <c r="F174" s="1" t="s">
        <v>1226</v>
      </c>
      <c r="G174" s="1" t="s">
        <v>11</v>
      </c>
      <c r="H174" s="9">
        <f>_xlfn.XLOOKUP(Tabla3[[#This Row],[Nit]],Hoja2!A174:A1597,Hoja2!C174:C1597)</f>
        <v>1000000</v>
      </c>
      <c r="I174" s="1">
        <f>_xlfn.XLOOKUP(Tabla3[[#This Row],[Cliente]],'[1]Datos Contacto'!$A$2:$A$23,'[1]Datos Contacto'!$E$2:$E$23,0,0,1)</f>
        <v>0</v>
      </c>
    </row>
    <row r="175" spans="1:9" x14ac:dyDescent="0.25">
      <c r="A175" s="1">
        <v>901312259</v>
      </c>
      <c r="B175" s="1" t="s">
        <v>189</v>
      </c>
      <c r="C175" s="1"/>
      <c r="D175" s="21" t="s">
        <v>1225</v>
      </c>
      <c r="E175" s="1" t="s">
        <v>9</v>
      </c>
      <c r="F175" s="1" t="s">
        <v>1226</v>
      </c>
      <c r="G175" s="1" t="s">
        <v>7</v>
      </c>
      <c r="H175" s="9">
        <f>_xlfn.XLOOKUP(Tabla3[[#This Row],[Nit]],Hoja2!A175:A1598,Hoja2!C175:C1598)</f>
        <v>1000000</v>
      </c>
      <c r="I175" s="1">
        <f>_xlfn.XLOOKUP(Tabla3[[#This Row],[Cliente]],'[1]Datos Contacto'!$A$2:$A$23,'[1]Datos Contacto'!$E$2:$E$23,0,0,1)</f>
        <v>0</v>
      </c>
    </row>
    <row r="176" spans="1:9" x14ac:dyDescent="0.25">
      <c r="A176" s="1">
        <v>900656471</v>
      </c>
      <c r="B176" s="1" t="s">
        <v>190</v>
      </c>
      <c r="C176" s="1"/>
      <c r="D176" s="21" t="s">
        <v>1225</v>
      </c>
      <c r="E176" s="1" t="s">
        <v>9</v>
      </c>
      <c r="F176" s="1" t="s">
        <v>1226</v>
      </c>
      <c r="G176" s="1" t="s">
        <v>11</v>
      </c>
      <c r="H176" s="9">
        <f>_xlfn.XLOOKUP(Tabla3[[#This Row],[Nit]],Hoja2!A176:A1599,Hoja2!C176:C1599)</f>
        <v>1000000</v>
      </c>
      <c r="I176" s="1">
        <f>_xlfn.XLOOKUP(Tabla3[[#This Row],[Cliente]],'[1]Datos Contacto'!$A$2:$A$23,'[1]Datos Contacto'!$E$2:$E$23,0,0,1)</f>
        <v>0</v>
      </c>
    </row>
    <row r="177" spans="1:9" x14ac:dyDescent="0.25">
      <c r="A177" s="1">
        <v>222222222222</v>
      </c>
      <c r="B177" s="1" t="s">
        <v>191</v>
      </c>
      <c r="C177" s="1"/>
      <c r="D177" s="21" t="s">
        <v>1225</v>
      </c>
      <c r="E177" s="1" t="s">
        <v>9</v>
      </c>
      <c r="F177" s="1" t="s">
        <v>1226</v>
      </c>
      <c r="G177" s="1" t="s">
        <v>15</v>
      </c>
      <c r="H177" s="9">
        <f>_xlfn.XLOOKUP(Tabla3[[#This Row],[Nit]],Hoja2!A177:A1600,Hoja2!C177:C1600)</f>
        <v>4000000</v>
      </c>
      <c r="I177" s="1">
        <f>_xlfn.XLOOKUP(Tabla3[[#This Row],[Cliente]],'[1]Datos Contacto'!$A$2:$A$23,'[1]Datos Contacto'!$E$2:$E$23,0,0,1)</f>
        <v>0</v>
      </c>
    </row>
    <row r="178" spans="1:9" x14ac:dyDescent="0.25">
      <c r="A178" s="1">
        <v>900142529</v>
      </c>
      <c r="B178" s="1" t="s">
        <v>192</v>
      </c>
      <c r="C178" s="1"/>
      <c r="D178" s="21" t="s">
        <v>1225</v>
      </c>
      <c r="E178" s="1" t="s">
        <v>9</v>
      </c>
      <c r="F178" s="1" t="s">
        <v>1226</v>
      </c>
      <c r="G178" s="1" t="s">
        <v>11</v>
      </c>
      <c r="H178" s="9">
        <f>_xlfn.XLOOKUP(Tabla3[[#This Row],[Nit]],Hoja2!A178:A1601,Hoja2!C178:C1601)</f>
        <v>1000000</v>
      </c>
      <c r="I178" s="1">
        <f>_xlfn.XLOOKUP(Tabla3[[#This Row],[Cliente]],'[1]Datos Contacto'!$A$2:$A$23,'[1]Datos Contacto'!$E$2:$E$23,0,0,1)</f>
        <v>0</v>
      </c>
    </row>
    <row r="179" spans="1:9" x14ac:dyDescent="0.25">
      <c r="A179" s="1">
        <v>860010946</v>
      </c>
      <c r="B179" s="1" t="s">
        <v>193</v>
      </c>
      <c r="C179" s="1"/>
      <c r="D179" s="21" t="s">
        <v>1225</v>
      </c>
      <c r="E179" s="1" t="s">
        <v>9</v>
      </c>
      <c r="F179" s="1" t="s">
        <v>1226</v>
      </c>
      <c r="G179" s="1" t="s">
        <v>7</v>
      </c>
      <c r="H179" s="9">
        <f>_xlfn.XLOOKUP(Tabla3[[#This Row],[Nit]],Hoja2!A179:A1602,Hoja2!C179:C1602)</f>
        <v>1000000</v>
      </c>
      <c r="I179" s="1">
        <f>_xlfn.XLOOKUP(Tabla3[[#This Row],[Cliente]],'[1]Datos Contacto'!$A$2:$A$23,'[1]Datos Contacto'!$E$2:$E$23,0,0,1)</f>
        <v>0</v>
      </c>
    </row>
    <row r="180" spans="1:9" x14ac:dyDescent="0.25">
      <c r="A180" s="1">
        <v>900446306</v>
      </c>
      <c r="B180" s="1" t="s">
        <v>194</v>
      </c>
      <c r="C180" s="1"/>
      <c r="D180" s="21" t="s">
        <v>1225</v>
      </c>
      <c r="E180" s="1" t="s">
        <v>9</v>
      </c>
      <c r="F180" s="1" t="s">
        <v>1226</v>
      </c>
      <c r="G180" s="1" t="s">
        <v>20</v>
      </c>
      <c r="H180" s="9">
        <f>_xlfn.XLOOKUP(Tabla3[[#This Row],[Nit]],Hoja2!A180:A1603,Hoja2!C180:C1603)</f>
        <v>1000000</v>
      </c>
      <c r="I180" s="1">
        <f>_xlfn.XLOOKUP(Tabla3[[#This Row],[Cliente]],'[1]Datos Contacto'!$A$2:$A$23,'[1]Datos Contacto'!$E$2:$E$23,0,0,1)</f>
        <v>0</v>
      </c>
    </row>
    <row r="181" spans="1:9" x14ac:dyDescent="0.25">
      <c r="A181" s="1">
        <v>901522731</v>
      </c>
      <c r="B181" s="1" t="s">
        <v>195</v>
      </c>
      <c r="C181" s="1"/>
      <c r="D181" s="21" t="s">
        <v>1225</v>
      </c>
      <c r="E181" s="1" t="s">
        <v>9</v>
      </c>
      <c r="F181" s="1" t="s">
        <v>1226</v>
      </c>
      <c r="G181" s="1" t="s">
        <v>11</v>
      </c>
      <c r="H181" s="9">
        <f>_xlfn.XLOOKUP(Tabla3[[#This Row],[Nit]],Hoja2!A181:A1604,Hoja2!C181:C1604)</f>
        <v>1000000</v>
      </c>
      <c r="I181" s="1">
        <f>_xlfn.XLOOKUP(Tabla3[[#This Row],[Cliente]],'[1]Datos Contacto'!$A$2:$A$23,'[1]Datos Contacto'!$E$2:$E$23,0,0,1)</f>
        <v>0</v>
      </c>
    </row>
    <row r="182" spans="1:9" x14ac:dyDescent="0.25">
      <c r="A182" s="1">
        <v>1023937955</v>
      </c>
      <c r="B182" s="1" t="s">
        <v>196</v>
      </c>
      <c r="C182" s="1"/>
      <c r="D182" s="21" t="s">
        <v>1225</v>
      </c>
      <c r="E182" s="1" t="s">
        <v>9</v>
      </c>
      <c r="F182" s="1" t="s">
        <v>1226</v>
      </c>
      <c r="G182" s="1" t="s">
        <v>15</v>
      </c>
      <c r="H182" s="9">
        <f>_xlfn.XLOOKUP(Tabla3[[#This Row],[Nit]],Hoja2!A182:A1605,Hoja2!C182:C1605)</f>
        <v>1000000</v>
      </c>
      <c r="I182" s="1">
        <f>_xlfn.XLOOKUP(Tabla3[[#This Row],[Cliente]],'[1]Datos Contacto'!$A$2:$A$23,'[1]Datos Contacto'!$E$2:$E$23,0,0,1)</f>
        <v>0</v>
      </c>
    </row>
    <row r="183" spans="1:9" x14ac:dyDescent="0.25">
      <c r="A183" s="1">
        <v>1070964835</v>
      </c>
      <c r="B183" s="1" t="s">
        <v>197</v>
      </c>
      <c r="C183" s="1"/>
      <c r="D183" s="21" t="s">
        <v>1225</v>
      </c>
      <c r="E183" s="1" t="s">
        <v>9</v>
      </c>
      <c r="F183" s="1" t="s">
        <v>1226</v>
      </c>
      <c r="G183" s="1" t="s">
        <v>20</v>
      </c>
      <c r="H183" s="9">
        <f>_xlfn.XLOOKUP(Tabla3[[#This Row],[Nit]],Hoja2!A183:A1606,Hoja2!C183:C1606)</f>
        <v>1000000</v>
      </c>
      <c r="I183" s="1">
        <f>_xlfn.XLOOKUP(Tabla3[[#This Row],[Cliente]],'[1]Datos Contacto'!$A$2:$A$23,'[1]Datos Contacto'!$E$2:$E$23,0,0,1)</f>
        <v>0</v>
      </c>
    </row>
    <row r="184" spans="1:9" x14ac:dyDescent="0.25">
      <c r="A184" s="1">
        <v>79901685</v>
      </c>
      <c r="B184" s="1" t="s">
        <v>198</v>
      </c>
      <c r="C184" s="1"/>
      <c r="D184" s="21" t="s">
        <v>1225</v>
      </c>
      <c r="E184" s="1" t="s">
        <v>9</v>
      </c>
      <c r="F184" s="1" t="s">
        <v>1226</v>
      </c>
      <c r="G184" s="1" t="s">
        <v>11</v>
      </c>
      <c r="H184" s="9">
        <f>_xlfn.XLOOKUP(Tabla3[[#This Row],[Nit]],Hoja2!A184:A1607,Hoja2!C184:C1607)</f>
        <v>1000000</v>
      </c>
      <c r="I184" s="1">
        <f>_xlfn.XLOOKUP(Tabla3[[#This Row],[Cliente]],'[1]Datos Contacto'!$A$2:$A$23,'[1]Datos Contacto'!$E$2:$E$23,0,0,1)</f>
        <v>0</v>
      </c>
    </row>
    <row r="185" spans="1:9" x14ac:dyDescent="0.25">
      <c r="A185" s="1">
        <v>1005294207</v>
      </c>
      <c r="B185" s="1" t="s">
        <v>199</v>
      </c>
      <c r="C185" s="1"/>
      <c r="D185" s="21" t="s">
        <v>1225</v>
      </c>
      <c r="E185" s="1" t="s">
        <v>9</v>
      </c>
      <c r="F185" s="1" t="s">
        <v>1226</v>
      </c>
      <c r="G185" s="1" t="s">
        <v>15</v>
      </c>
      <c r="H185" s="9">
        <f>_xlfn.XLOOKUP(Tabla3[[#This Row],[Nit]],Hoja2!A185:A1608,Hoja2!C185:C1608)</f>
        <v>6000000</v>
      </c>
      <c r="I185" s="1">
        <f>_xlfn.XLOOKUP(Tabla3[[#This Row],[Cliente]],'[1]Datos Contacto'!$A$2:$A$23,'[1]Datos Contacto'!$E$2:$E$23,0,0,1)</f>
        <v>0</v>
      </c>
    </row>
    <row r="186" spans="1:9" x14ac:dyDescent="0.25">
      <c r="A186" s="1">
        <v>1019076093</v>
      </c>
      <c r="B186" s="1" t="s">
        <v>200</v>
      </c>
      <c r="C186" s="1"/>
      <c r="D186" s="21" t="s">
        <v>1225</v>
      </c>
      <c r="E186" s="1" t="s">
        <v>9</v>
      </c>
      <c r="F186" s="1" t="s">
        <v>1226</v>
      </c>
      <c r="G186" s="1" t="s">
        <v>11</v>
      </c>
      <c r="H186" s="9">
        <f>_xlfn.XLOOKUP(Tabla3[[#This Row],[Nit]],Hoja2!A186:A1609,Hoja2!C186:C1609)</f>
        <v>1000000</v>
      </c>
      <c r="I186" s="1">
        <f>_xlfn.XLOOKUP(Tabla3[[#This Row],[Cliente]],'[1]Datos Contacto'!$A$2:$A$23,'[1]Datos Contacto'!$E$2:$E$23,0,0,1)</f>
        <v>0</v>
      </c>
    </row>
    <row r="187" spans="1:9" x14ac:dyDescent="0.25">
      <c r="A187" s="1">
        <v>1006775848</v>
      </c>
      <c r="B187" s="1" t="s">
        <v>201</v>
      </c>
      <c r="C187" s="1"/>
      <c r="D187" s="21" t="s">
        <v>1225</v>
      </c>
      <c r="E187" s="1" t="s">
        <v>9</v>
      </c>
      <c r="F187" s="1" t="s">
        <v>1226</v>
      </c>
      <c r="G187" s="1" t="s">
        <v>11</v>
      </c>
      <c r="H187" s="9">
        <f>_xlfn.XLOOKUP(Tabla3[[#This Row],[Nit]],Hoja2!A187:A1610,Hoja2!C187:C1610)</f>
        <v>1000000</v>
      </c>
      <c r="I187" s="1">
        <f>_xlfn.XLOOKUP(Tabla3[[#This Row],[Cliente]],'[1]Datos Contacto'!$A$2:$A$23,'[1]Datos Contacto'!$E$2:$E$23,0,0,1)</f>
        <v>0</v>
      </c>
    </row>
    <row r="188" spans="1:9" x14ac:dyDescent="0.25">
      <c r="A188" s="1">
        <v>160</v>
      </c>
      <c r="B188" s="1" t="s">
        <v>202</v>
      </c>
      <c r="C188" s="1"/>
      <c r="D188" s="21" t="s">
        <v>1225</v>
      </c>
      <c r="E188" s="1" t="s">
        <v>9</v>
      </c>
      <c r="F188" s="1" t="s">
        <v>1226</v>
      </c>
      <c r="G188" s="1" t="s">
        <v>11</v>
      </c>
      <c r="H188" s="9">
        <f>_xlfn.XLOOKUP(Tabla3[[#This Row],[Nit]],Hoja2!A188:A1611,Hoja2!C188:C1611)</f>
        <v>1000000</v>
      </c>
      <c r="I188" s="1">
        <f>_xlfn.XLOOKUP(Tabla3[[#This Row],[Cliente]],'[1]Datos Contacto'!$A$2:$A$23,'[1]Datos Contacto'!$E$2:$E$23,0,0,1)</f>
        <v>0</v>
      </c>
    </row>
    <row r="189" spans="1:9" x14ac:dyDescent="0.25">
      <c r="A189" s="1">
        <v>1026590385</v>
      </c>
      <c r="B189" s="1" t="s">
        <v>203</v>
      </c>
      <c r="C189" s="1"/>
      <c r="D189" s="21" t="s">
        <v>1225</v>
      </c>
      <c r="E189" s="1" t="s">
        <v>9</v>
      </c>
      <c r="F189" s="1" t="s">
        <v>1226</v>
      </c>
      <c r="G189" s="1" t="s">
        <v>11</v>
      </c>
      <c r="H189" s="9">
        <f>_xlfn.XLOOKUP(Tabla3[[#This Row],[Nit]],Hoja2!A189:A1612,Hoja2!C189:C1612)</f>
        <v>5000000</v>
      </c>
      <c r="I189" s="1">
        <f>_xlfn.XLOOKUP(Tabla3[[#This Row],[Cliente]],'[1]Datos Contacto'!$A$2:$A$23,'[1]Datos Contacto'!$E$2:$E$23,0,0,1)</f>
        <v>0</v>
      </c>
    </row>
    <row r="190" spans="1:9" x14ac:dyDescent="0.25">
      <c r="A190" s="1">
        <v>901171639</v>
      </c>
      <c r="B190" s="1" t="s">
        <v>204</v>
      </c>
      <c r="C190" s="1"/>
      <c r="D190" s="21" t="s">
        <v>1225</v>
      </c>
      <c r="E190" s="1" t="s">
        <v>9</v>
      </c>
      <c r="F190" s="1" t="s">
        <v>1226</v>
      </c>
      <c r="G190" s="1" t="s">
        <v>15</v>
      </c>
      <c r="H190" s="9">
        <f>_xlfn.XLOOKUP(Tabla3[[#This Row],[Nit]],Hoja2!A190:A1613,Hoja2!C190:C1613)</f>
        <v>1000000</v>
      </c>
      <c r="I190" s="1">
        <f>_xlfn.XLOOKUP(Tabla3[[#This Row],[Cliente]],'[1]Datos Contacto'!$A$2:$A$23,'[1]Datos Contacto'!$E$2:$E$23,0,0,1)</f>
        <v>0</v>
      </c>
    </row>
    <row r="191" spans="1:9" x14ac:dyDescent="0.25">
      <c r="A191" s="1">
        <v>90071596</v>
      </c>
      <c r="B191" s="1" t="s">
        <v>205</v>
      </c>
      <c r="C191" s="1"/>
      <c r="D191" s="21" t="s">
        <v>1225</v>
      </c>
      <c r="E191" s="1" t="s">
        <v>79</v>
      </c>
      <c r="F191" s="1" t="s">
        <v>1226</v>
      </c>
      <c r="G191" s="1" t="s">
        <v>7</v>
      </c>
      <c r="H191" s="9">
        <f>_xlfn.XLOOKUP(Tabla3[[#This Row],[Nit]],Hoja2!A191:A1614,Hoja2!C191:C1614)</f>
        <v>1000000</v>
      </c>
      <c r="I191" s="1" t="str">
        <f>_xlfn.XLOOKUP(Tabla3[[#This Row],[Cliente]],'[1]Datos Contacto'!$A$2:$A$23,'[1]Datos Contacto'!$E$2:$E$23,0,0,1)</f>
        <v>contabilidad@cuisinartcol.com</v>
      </c>
    </row>
    <row r="192" spans="1:9" x14ac:dyDescent="0.25">
      <c r="A192" s="1">
        <v>400</v>
      </c>
      <c r="B192" s="1" t="s">
        <v>206</v>
      </c>
      <c r="C192" s="1"/>
      <c r="D192" s="21" t="s">
        <v>1225</v>
      </c>
      <c r="E192" s="1" t="s">
        <v>9</v>
      </c>
      <c r="F192" s="1" t="s">
        <v>1226</v>
      </c>
      <c r="G192" s="1" t="s">
        <v>20</v>
      </c>
      <c r="H192" s="9">
        <f>_xlfn.XLOOKUP(Tabla3[[#This Row],[Nit]],Hoja2!A192:A1615,Hoja2!C192:C1615)</f>
        <v>1000000</v>
      </c>
      <c r="I192" s="1">
        <f>_xlfn.XLOOKUP(Tabla3[[#This Row],[Cliente]],'[1]Datos Contacto'!$A$2:$A$23,'[1]Datos Contacto'!$E$2:$E$23,0,0,1)</f>
        <v>0</v>
      </c>
    </row>
    <row r="193" spans="1:9" x14ac:dyDescent="0.25">
      <c r="A193" s="1">
        <v>1002587699</v>
      </c>
      <c r="B193" s="1" t="s">
        <v>207</v>
      </c>
      <c r="C193" s="1"/>
      <c r="D193" s="21" t="s">
        <v>1225</v>
      </c>
      <c r="E193" s="1" t="s">
        <v>9</v>
      </c>
      <c r="F193" s="1" t="s">
        <v>1226</v>
      </c>
      <c r="G193" s="1" t="s">
        <v>11</v>
      </c>
      <c r="H193" s="9">
        <f>_xlfn.XLOOKUP(Tabla3[[#This Row],[Nit]],Hoja2!A193:A1616,Hoja2!C193:C1616)</f>
        <v>1000000</v>
      </c>
      <c r="I193" s="1">
        <f>_xlfn.XLOOKUP(Tabla3[[#This Row],[Cliente]],'[1]Datos Contacto'!$A$2:$A$23,'[1]Datos Contacto'!$E$2:$E$23,0,0,1)</f>
        <v>0</v>
      </c>
    </row>
    <row r="194" spans="1:9" x14ac:dyDescent="0.25">
      <c r="A194" s="1">
        <v>86002767</v>
      </c>
      <c r="B194" s="1" t="s">
        <v>208</v>
      </c>
      <c r="C194" s="1"/>
      <c r="D194" s="21" t="s">
        <v>1225</v>
      </c>
      <c r="E194" s="1" t="s">
        <v>9</v>
      </c>
      <c r="F194" s="1" t="s">
        <v>1226</v>
      </c>
      <c r="G194" s="1" t="s">
        <v>15</v>
      </c>
      <c r="H194" s="9">
        <f>_xlfn.XLOOKUP(Tabla3[[#This Row],[Nit]],Hoja2!A194:A1617,Hoja2!C194:C1617)</f>
        <v>1000000</v>
      </c>
      <c r="I194" s="1">
        <f>_xlfn.XLOOKUP(Tabla3[[#This Row],[Cliente]],'[1]Datos Contacto'!$A$2:$A$23,'[1]Datos Contacto'!$E$2:$E$23,0,0,1)</f>
        <v>0</v>
      </c>
    </row>
    <row r="195" spans="1:9" x14ac:dyDescent="0.25">
      <c r="A195" s="1">
        <v>1019059454</v>
      </c>
      <c r="B195" s="1" t="s">
        <v>209</v>
      </c>
      <c r="C195" s="1"/>
      <c r="D195" s="21" t="s">
        <v>1225</v>
      </c>
      <c r="E195" s="1" t="s">
        <v>6</v>
      </c>
      <c r="F195" s="1" t="s">
        <v>1226</v>
      </c>
      <c r="G195" s="1" t="s">
        <v>15</v>
      </c>
      <c r="H195" s="9">
        <f>_xlfn.XLOOKUP(Tabla3[[#This Row],[Nit]],Hoja2!A195:A1618,Hoja2!C195:C1618)</f>
        <v>1000000</v>
      </c>
      <c r="I195" s="1">
        <f>_xlfn.XLOOKUP(Tabla3[[#This Row],[Cliente]],'[1]Datos Contacto'!$A$2:$A$23,'[1]Datos Contacto'!$E$2:$E$23,0,0,1)</f>
        <v>0</v>
      </c>
    </row>
    <row r="196" spans="1:9" x14ac:dyDescent="0.25">
      <c r="A196" s="1">
        <v>1010209877</v>
      </c>
      <c r="B196" s="1" t="s">
        <v>210</v>
      </c>
      <c r="C196" s="1"/>
      <c r="D196" s="21" t="s">
        <v>1225</v>
      </c>
      <c r="E196" s="1" t="s">
        <v>9</v>
      </c>
      <c r="F196" s="1" t="s">
        <v>1226</v>
      </c>
      <c r="G196" s="1" t="s">
        <v>20</v>
      </c>
      <c r="H196" s="9">
        <f>_xlfn.XLOOKUP(Tabla3[[#This Row],[Nit]],Hoja2!A196:A1619,Hoja2!C196:C1619)</f>
        <v>1000000</v>
      </c>
      <c r="I196" s="1">
        <f>_xlfn.XLOOKUP(Tabla3[[#This Row],[Cliente]],'[1]Datos Contacto'!$A$2:$A$23,'[1]Datos Contacto'!$E$2:$E$23,0,0,1)</f>
        <v>0</v>
      </c>
    </row>
    <row r="197" spans="1:9" x14ac:dyDescent="0.25">
      <c r="A197" s="1">
        <v>75143614</v>
      </c>
      <c r="B197" s="1" t="s">
        <v>211</v>
      </c>
      <c r="C197" s="1"/>
      <c r="D197" s="21" t="s">
        <v>1225</v>
      </c>
      <c r="E197" s="1" t="s">
        <v>9</v>
      </c>
      <c r="F197" s="1" t="s">
        <v>1226</v>
      </c>
      <c r="G197" s="1" t="s">
        <v>11</v>
      </c>
      <c r="H197" s="9">
        <f>_xlfn.XLOOKUP(Tabla3[[#This Row],[Nit]],Hoja2!A197:A1620,Hoja2!C197:C1620)</f>
        <v>1000000</v>
      </c>
      <c r="I197" s="1">
        <f>_xlfn.XLOOKUP(Tabla3[[#This Row],[Cliente]],'[1]Datos Contacto'!$A$2:$A$23,'[1]Datos Contacto'!$E$2:$E$23,0,0,1)</f>
        <v>0</v>
      </c>
    </row>
    <row r="198" spans="1:9" x14ac:dyDescent="0.25">
      <c r="A198" s="1">
        <v>80007010</v>
      </c>
      <c r="B198" s="1" t="s">
        <v>212</v>
      </c>
      <c r="C198" s="1"/>
      <c r="D198" s="21" t="s">
        <v>1225</v>
      </c>
      <c r="E198" s="1" t="s">
        <v>9</v>
      </c>
      <c r="F198" s="1" t="s">
        <v>1226</v>
      </c>
      <c r="G198" s="1" t="s">
        <v>20</v>
      </c>
      <c r="H198" s="9">
        <f>_xlfn.XLOOKUP(Tabla3[[#This Row],[Nit]],Hoja2!A198:A1621,Hoja2!C198:C1621)</f>
        <v>1000000</v>
      </c>
      <c r="I198" s="1">
        <f>_xlfn.XLOOKUP(Tabla3[[#This Row],[Cliente]],'[1]Datos Contacto'!$A$2:$A$23,'[1]Datos Contacto'!$E$2:$E$23,0,0,1)</f>
        <v>0</v>
      </c>
    </row>
    <row r="199" spans="1:9" x14ac:dyDescent="0.25">
      <c r="A199" s="1">
        <v>173</v>
      </c>
      <c r="B199" s="1" t="s">
        <v>213</v>
      </c>
      <c r="C199" s="1"/>
      <c r="D199" s="21" t="s">
        <v>1225</v>
      </c>
      <c r="E199" s="1" t="s">
        <v>9</v>
      </c>
      <c r="F199" s="1" t="s">
        <v>1226</v>
      </c>
      <c r="G199" s="1" t="s">
        <v>11</v>
      </c>
      <c r="H199" s="9">
        <f>_xlfn.XLOOKUP(Tabla3[[#This Row],[Nit]],Hoja2!A199:A1622,Hoja2!C199:C1622)</f>
        <v>1000000</v>
      </c>
      <c r="I199" s="1">
        <f>_xlfn.XLOOKUP(Tabla3[[#This Row],[Cliente]],'[1]Datos Contacto'!$A$2:$A$23,'[1]Datos Contacto'!$E$2:$E$23,0,0,1)</f>
        <v>0</v>
      </c>
    </row>
    <row r="200" spans="1:9" x14ac:dyDescent="0.25">
      <c r="A200" s="1">
        <v>1016033848</v>
      </c>
      <c r="B200" s="1" t="s">
        <v>214</v>
      </c>
      <c r="C200" s="1"/>
      <c r="D200" s="21" t="s">
        <v>1225</v>
      </c>
      <c r="E200" s="1" t="s">
        <v>9</v>
      </c>
      <c r="F200" s="1" t="s">
        <v>1226</v>
      </c>
      <c r="G200" s="1" t="s">
        <v>15</v>
      </c>
      <c r="H200" s="9">
        <f>_xlfn.XLOOKUP(Tabla3[[#This Row],[Nit]],Hoja2!A200:A1623,Hoja2!C200:C1623)</f>
        <v>1000000</v>
      </c>
      <c r="I200" s="1">
        <f>_xlfn.XLOOKUP(Tabla3[[#This Row],[Cliente]],'[1]Datos Contacto'!$A$2:$A$23,'[1]Datos Contacto'!$E$2:$E$23,0,0,1)</f>
        <v>0</v>
      </c>
    </row>
    <row r="201" spans="1:9" x14ac:dyDescent="0.25">
      <c r="A201" s="1">
        <v>80432801</v>
      </c>
      <c r="B201" s="1" t="s">
        <v>215</v>
      </c>
      <c r="C201" s="1"/>
      <c r="D201" s="21" t="s">
        <v>1225</v>
      </c>
      <c r="E201" s="1" t="s">
        <v>9</v>
      </c>
      <c r="F201" s="1" t="s">
        <v>1226</v>
      </c>
      <c r="G201" s="1" t="s">
        <v>7</v>
      </c>
      <c r="H201" s="9">
        <f>_xlfn.XLOOKUP(Tabla3[[#This Row],[Nit]],Hoja2!A201:A1624,Hoja2!C201:C1624)</f>
        <v>1000000</v>
      </c>
      <c r="I201" s="1">
        <f>_xlfn.XLOOKUP(Tabla3[[#This Row],[Cliente]],'[1]Datos Contacto'!$A$2:$A$23,'[1]Datos Contacto'!$E$2:$E$23,0,0,1)</f>
        <v>0</v>
      </c>
    </row>
    <row r="202" spans="1:9" x14ac:dyDescent="0.25">
      <c r="A202" s="1">
        <v>1034315349</v>
      </c>
      <c r="B202" s="1" t="s">
        <v>216</v>
      </c>
      <c r="C202" s="1"/>
      <c r="D202" s="21" t="s">
        <v>1225</v>
      </c>
      <c r="E202" s="1" t="s">
        <v>9</v>
      </c>
      <c r="F202" s="1" t="s">
        <v>1226</v>
      </c>
      <c r="G202" s="1" t="s">
        <v>7</v>
      </c>
      <c r="H202" s="9">
        <f>_xlfn.XLOOKUP(Tabla3[[#This Row],[Nit]],Hoja2!A202:A1625,Hoja2!C202:C1625)</f>
        <v>1000000</v>
      </c>
      <c r="I202" s="1">
        <f>_xlfn.XLOOKUP(Tabla3[[#This Row],[Cliente]],'[1]Datos Contacto'!$A$2:$A$23,'[1]Datos Contacto'!$E$2:$E$23,0,0,1)</f>
        <v>0</v>
      </c>
    </row>
    <row r="203" spans="1:9" x14ac:dyDescent="0.25">
      <c r="A203" s="1">
        <v>1010018939</v>
      </c>
      <c r="B203" s="1" t="s">
        <v>217</v>
      </c>
      <c r="C203" s="1"/>
      <c r="D203" s="21" t="s">
        <v>1225</v>
      </c>
      <c r="E203" s="1" t="s">
        <v>9</v>
      </c>
      <c r="F203" s="1" t="s">
        <v>1226</v>
      </c>
      <c r="G203" s="1" t="s">
        <v>7</v>
      </c>
      <c r="H203" s="9">
        <f>_xlfn.XLOOKUP(Tabla3[[#This Row],[Nit]],Hoja2!A203:A1626,Hoja2!C203:C1626)</f>
        <v>1000000</v>
      </c>
      <c r="I203" s="1">
        <f>_xlfn.XLOOKUP(Tabla3[[#This Row],[Cliente]],'[1]Datos Contacto'!$A$2:$A$23,'[1]Datos Contacto'!$E$2:$E$23,0,0,1)</f>
        <v>0</v>
      </c>
    </row>
    <row r="204" spans="1:9" x14ac:dyDescent="0.25">
      <c r="A204" s="1">
        <v>1018459629</v>
      </c>
      <c r="B204" s="1" t="s">
        <v>218</v>
      </c>
      <c r="C204" s="1"/>
      <c r="D204" s="21" t="s">
        <v>1225</v>
      </c>
      <c r="E204" s="1" t="s">
        <v>9</v>
      </c>
      <c r="F204" s="1" t="s">
        <v>1226</v>
      </c>
      <c r="G204" s="1" t="s">
        <v>15</v>
      </c>
      <c r="H204" s="9">
        <f>_xlfn.XLOOKUP(Tabla3[[#This Row],[Nit]],Hoja2!A204:A1627,Hoja2!C204:C1627)</f>
        <v>1000000</v>
      </c>
      <c r="I204" s="1">
        <f>_xlfn.XLOOKUP(Tabla3[[#This Row],[Cliente]],'[1]Datos Contacto'!$A$2:$A$23,'[1]Datos Contacto'!$E$2:$E$23,0,0,1)</f>
        <v>0</v>
      </c>
    </row>
    <row r="205" spans="1:9" x14ac:dyDescent="0.25">
      <c r="A205" s="1">
        <v>901320714</v>
      </c>
      <c r="B205" s="1" t="s">
        <v>219</v>
      </c>
      <c r="C205" s="1"/>
      <c r="D205" s="21" t="s">
        <v>1225</v>
      </c>
      <c r="E205" s="1" t="s">
        <v>9</v>
      </c>
      <c r="F205" s="1" t="s">
        <v>1226</v>
      </c>
      <c r="G205" s="1" t="s">
        <v>11</v>
      </c>
      <c r="H205" s="9">
        <f>_xlfn.XLOOKUP(Tabla3[[#This Row],[Nit]],Hoja2!A205:A1628,Hoja2!C205:C1628)</f>
        <v>1000000</v>
      </c>
      <c r="I205" s="1">
        <f>_xlfn.XLOOKUP(Tabla3[[#This Row],[Cliente]],'[1]Datos Contacto'!$A$2:$A$23,'[1]Datos Contacto'!$E$2:$E$23,0,0,1)</f>
        <v>0</v>
      </c>
    </row>
    <row r="206" spans="1:9" x14ac:dyDescent="0.25">
      <c r="A206" s="1">
        <v>900057199</v>
      </c>
      <c r="B206" s="2" t="s">
        <v>220</v>
      </c>
      <c r="C206" s="1"/>
      <c r="D206" s="21" t="s">
        <v>1225</v>
      </c>
      <c r="E206" s="1" t="s">
        <v>79</v>
      </c>
      <c r="F206" s="1" t="s">
        <v>1226</v>
      </c>
      <c r="G206" s="1" t="s">
        <v>7</v>
      </c>
      <c r="H206" s="9">
        <f>_xlfn.XLOOKUP(Tabla3[[#This Row],[Nit]],Hoja2!A206:A1629,Hoja2!C206:C1629)</f>
        <v>30000000</v>
      </c>
      <c r="I206" s="1">
        <f>_xlfn.XLOOKUP(Tabla3[[#This Row],[Cliente]],'[1]Datos Contacto'!$A$2:$A$23,'[1]Datos Contacto'!$E$2:$E$23,0,0,1)</f>
        <v>0</v>
      </c>
    </row>
    <row r="207" spans="1:9" x14ac:dyDescent="0.25">
      <c r="A207" s="1">
        <v>700174290</v>
      </c>
      <c r="B207" s="1" t="s">
        <v>221</v>
      </c>
      <c r="C207" s="1"/>
      <c r="D207" s="21" t="s">
        <v>1225</v>
      </c>
      <c r="E207" s="1" t="s">
        <v>9</v>
      </c>
      <c r="F207" s="1" t="s">
        <v>1226</v>
      </c>
      <c r="G207" s="1" t="s">
        <v>7</v>
      </c>
      <c r="H207" s="9">
        <f>_xlfn.XLOOKUP(Tabla3[[#This Row],[Nit]],Hoja2!A207:A1630,Hoja2!C207:C1630)</f>
        <v>1000000</v>
      </c>
      <c r="I207" s="1">
        <f>_xlfn.XLOOKUP(Tabla3[[#This Row],[Cliente]],'[1]Datos Contacto'!$A$2:$A$23,'[1]Datos Contacto'!$E$2:$E$23,0,0,1)</f>
        <v>0</v>
      </c>
    </row>
    <row r="208" spans="1:9" x14ac:dyDescent="0.25">
      <c r="A208" s="1">
        <v>411</v>
      </c>
      <c r="B208" s="1" t="s">
        <v>222</v>
      </c>
      <c r="C208" s="1"/>
      <c r="D208" s="21" t="s">
        <v>1225</v>
      </c>
      <c r="E208" s="1" t="s">
        <v>9</v>
      </c>
      <c r="F208" s="1" t="s">
        <v>1226</v>
      </c>
      <c r="G208" s="1" t="s">
        <v>7</v>
      </c>
      <c r="H208" s="9">
        <f>_xlfn.XLOOKUP(Tabla3[[#This Row],[Nit]],Hoja2!A208:A1631,Hoja2!C208:C1631)</f>
        <v>1000000</v>
      </c>
      <c r="I208" s="1">
        <f>_xlfn.XLOOKUP(Tabla3[[#This Row],[Cliente]],'[1]Datos Contacto'!$A$2:$A$23,'[1]Datos Contacto'!$E$2:$E$23,0,0,1)</f>
        <v>0</v>
      </c>
    </row>
    <row r="209" spans="1:9" x14ac:dyDescent="0.25">
      <c r="A209" s="1">
        <v>52342811</v>
      </c>
      <c r="B209" s="1" t="s">
        <v>223</v>
      </c>
      <c r="C209" s="1"/>
      <c r="D209" s="21" t="s">
        <v>1225</v>
      </c>
      <c r="E209" s="1" t="s">
        <v>9</v>
      </c>
      <c r="F209" s="1" t="s">
        <v>1226</v>
      </c>
      <c r="G209" s="1" t="s">
        <v>11</v>
      </c>
      <c r="H209" s="9">
        <f>_xlfn.XLOOKUP(Tabla3[[#This Row],[Nit]],Hoja2!A209:A1632,Hoja2!C209:C1632)</f>
        <v>1000000</v>
      </c>
      <c r="I209" s="1">
        <f>_xlfn.XLOOKUP(Tabla3[[#This Row],[Cliente]],'[1]Datos Contacto'!$A$2:$A$23,'[1]Datos Contacto'!$E$2:$E$23,0,0,1)</f>
        <v>0</v>
      </c>
    </row>
    <row r="210" spans="1:9" x14ac:dyDescent="0.25">
      <c r="A210" s="1">
        <v>1015473065</v>
      </c>
      <c r="B210" s="1" t="s">
        <v>224</v>
      </c>
      <c r="C210" s="1"/>
      <c r="D210" s="21" t="s">
        <v>1225</v>
      </c>
      <c r="E210" s="1" t="s">
        <v>9</v>
      </c>
      <c r="F210" s="1" t="s">
        <v>1226</v>
      </c>
      <c r="G210" s="1" t="s">
        <v>15</v>
      </c>
      <c r="H210" s="9">
        <f>_xlfn.XLOOKUP(Tabla3[[#This Row],[Nit]],Hoja2!A210:A1633,Hoja2!C210:C1633)</f>
        <v>1000000</v>
      </c>
      <c r="I210" s="1">
        <f>_xlfn.XLOOKUP(Tabla3[[#This Row],[Cliente]],'[1]Datos Contacto'!$A$2:$A$23,'[1]Datos Contacto'!$E$2:$E$23,0,0,1)</f>
        <v>0</v>
      </c>
    </row>
    <row r="211" spans="1:9" x14ac:dyDescent="0.25">
      <c r="A211" s="1">
        <v>1031132482</v>
      </c>
      <c r="B211" s="1" t="s">
        <v>225</v>
      </c>
      <c r="C211" s="1"/>
      <c r="D211" s="21" t="s">
        <v>1225</v>
      </c>
      <c r="E211" s="1" t="s">
        <v>9</v>
      </c>
      <c r="F211" s="1" t="s">
        <v>1226</v>
      </c>
      <c r="G211" s="1" t="s">
        <v>15</v>
      </c>
      <c r="H211" s="9">
        <f>_xlfn.XLOOKUP(Tabla3[[#This Row],[Nit]],Hoja2!A211:A1634,Hoja2!C211:C1634)</f>
        <v>1000000</v>
      </c>
      <c r="I211" s="1">
        <f>_xlfn.XLOOKUP(Tabla3[[#This Row],[Cliente]],'[1]Datos Contacto'!$A$2:$A$23,'[1]Datos Contacto'!$E$2:$E$23,0,0,1)</f>
        <v>0</v>
      </c>
    </row>
    <row r="212" spans="1:9" x14ac:dyDescent="0.25">
      <c r="A212" s="1">
        <v>1013578615</v>
      </c>
      <c r="B212" s="1" t="s">
        <v>226</v>
      </c>
      <c r="C212" s="1"/>
      <c r="D212" s="21" t="s">
        <v>1225</v>
      </c>
      <c r="E212" s="1" t="s">
        <v>9</v>
      </c>
      <c r="F212" s="1" t="s">
        <v>1226</v>
      </c>
      <c r="G212" s="1" t="s">
        <v>11</v>
      </c>
      <c r="H212" s="9">
        <f>_xlfn.XLOOKUP(Tabla3[[#This Row],[Nit]],Hoja2!A212:A1635,Hoja2!C212:C1635)</f>
        <v>1000000</v>
      </c>
      <c r="I212" s="1">
        <f>_xlfn.XLOOKUP(Tabla3[[#This Row],[Cliente]],'[1]Datos Contacto'!$A$2:$A$23,'[1]Datos Contacto'!$E$2:$E$23,0,0,1)</f>
        <v>0</v>
      </c>
    </row>
    <row r="213" spans="1:9" x14ac:dyDescent="0.25">
      <c r="A213" s="1">
        <v>52475751</v>
      </c>
      <c r="B213" s="1" t="s">
        <v>227</v>
      </c>
      <c r="C213" s="1"/>
      <c r="D213" s="21" t="s">
        <v>1225</v>
      </c>
      <c r="E213" s="1" t="s">
        <v>9</v>
      </c>
      <c r="F213" s="1" t="s">
        <v>1226</v>
      </c>
      <c r="G213" s="1" t="s">
        <v>15</v>
      </c>
      <c r="H213" s="9">
        <f>_xlfn.XLOOKUP(Tabla3[[#This Row],[Nit]],Hoja2!A213:A1636,Hoja2!C213:C1636)</f>
        <v>1000000</v>
      </c>
      <c r="I213" s="1">
        <f>_xlfn.XLOOKUP(Tabla3[[#This Row],[Cliente]],'[1]Datos Contacto'!$A$2:$A$23,'[1]Datos Contacto'!$E$2:$E$23,0,0,1)</f>
        <v>0</v>
      </c>
    </row>
    <row r="214" spans="1:9" x14ac:dyDescent="0.25">
      <c r="A214" s="1">
        <v>1101019163</v>
      </c>
      <c r="B214" s="1" t="s">
        <v>228</v>
      </c>
      <c r="C214" s="1"/>
      <c r="D214" s="21" t="s">
        <v>1225</v>
      </c>
      <c r="E214" s="1" t="s">
        <v>9</v>
      </c>
      <c r="F214" s="1" t="s">
        <v>1226</v>
      </c>
      <c r="G214" s="1" t="s">
        <v>11</v>
      </c>
      <c r="H214" s="9">
        <f>_xlfn.XLOOKUP(Tabla3[[#This Row],[Nit]],Hoja2!A214:A1637,Hoja2!C214:C1637)</f>
        <v>4000000</v>
      </c>
      <c r="I214" s="1">
        <f>_xlfn.XLOOKUP(Tabla3[[#This Row],[Cliente]],'[1]Datos Contacto'!$A$2:$A$23,'[1]Datos Contacto'!$E$2:$E$23,0,0,1)</f>
        <v>0</v>
      </c>
    </row>
    <row r="215" spans="1:9" x14ac:dyDescent="0.25">
      <c r="A215" s="1">
        <v>80001527</v>
      </c>
      <c r="B215" s="1" t="s">
        <v>229</v>
      </c>
      <c r="C215" s="1"/>
      <c r="D215" s="21" t="s">
        <v>1225</v>
      </c>
      <c r="E215" s="1" t="s">
        <v>9</v>
      </c>
      <c r="F215" s="1" t="s">
        <v>1226</v>
      </c>
      <c r="G215" s="1" t="s">
        <v>7</v>
      </c>
      <c r="H215" s="9">
        <f>_xlfn.XLOOKUP(Tabla3[[#This Row],[Nit]],Hoja2!A215:A1638,Hoja2!C215:C1638)</f>
        <v>1000000</v>
      </c>
      <c r="I215" s="1">
        <f>_xlfn.XLOOKUP(Tabla3[[#This Row],[Cliente]],'[1]Datos Contacto'!$A$2:$A$23,'[1]Datos Contacto'!$E$2:$E$23,0,0,1)</f>
        <v>0</v>
      </c>
    </row>
    <row r="216" spans="1:9" x14ac:dyDescent="0.25">
      <c r="A216" s="1">
        <v>79968865</v>
      </c>
      <c r="B216" s="1" t="s">
        <v>230</v>
      </c>
      <c r="C216" s="1"/>
      <c r="D216" s="21" t="s">
        <v>1225</v>
      </c>
      <c r="E216" s="1" t="s">
        <v>9</v>
      </c>
      <c r="F216" s="1" t="s">
        <v>1226</v>
      </c>
      <c r="G216" s="1" t="s">
        <v>15</v>
      </c>
      <c r="H216" s="9">
        <f>_xlfn.XLOOKUP(Tabla3[[#This Row],[Nit]],Hoja2!A216:A1639,Hoja2!C216:C1639)</f>
        <v>1000000</v>
      </c>
      <c r="I216" s="1">
        <f>_xlfn.XLOOKUP(Tabla3[[#This Row],[Cliente]],'[1]Datos Contacto'!$A$2:$A$23,'[1]Datos Contacto'!$E$2:$E$23,0,0,1)</f>
        <v>0</v>
      </c>
    </row>
    <row r="217" spans="1:9" x14ac:dyDescent="0.25">
      <c r="A217" s="1">
        <v>80771317</v>
      </c>
      <c r="B217" s="1" t="s">
        <v>231</v>
      </c>
      <c r="C217" s="1"/>
      <c r="D217" s="21" t="s">
        <v>1225</v>
      </c>
      <c r="E217" s="1" t="s">
        <v>9</v>
      </c>
      <c r="F217" s="1" t="s">
        <v>1226</v>
      </c>
      <c r="G217" s="1" t="s">
        <v>15</v>
      </c>
      <c r="H217" s="9">
        <f>_xlfn.XLOOKUP(Tabla3[[#This Row],[Nit]],Hoja2!A217:A1640,Hoja2!C217:C1640)</f>
        <v>1000000</v>
      </c>
      <c r="I217" s="1">
        <f>_xlfn.XLOOKUP(Tabla3[[#This Row],[Cliente]],'[1]Datos Contacto'!$A$2:$A$23,'[1]Datos Contacto'!$E$2:$E$23,0,0,1)</f>
        <v>0</v>
      </c>
    </row>
    <row r="218" spans="1:9" x14ac:dyDescent="0.25">
      <c r="A218" s="1">
        <v>167</v>
      </c>
      <c r="B218" s="1" t="s">
        <v>232</v>
      </c>
      <c r="C218" s="1"/>
      <c r="D218" s="21" t="s">
        <v>1225</v>
      </c>
      <c r="E218" s="1" t="s">
        <v>9</v>
      </c>
      <c r="F218" s="1" t="s">
        <v>1226</v>
      </c>
      <c r="G218" s="1" t="s">
        <v>11</v>
      </c>
      <c r="H218" s="9">
        <f>_xlfn.XLOOKUP(Tabla3[[#This Row],[Nit]],Hoja2!A218:A1641,Hoja2!C218:C1641)</f>
        <v>1000000</v>
      </c>
      <c r="I218" s="1">
        <f>_xlfn.XLOOKUP(Tabla3[[#This Row],[Cliente]],'[1]Datos Contacto'!$A$2:$A$23,'[1]Datos Contacto'!$E$2:$E$23,0,0,1)</f>
        <v>0</v>
      </c>
    </row>
    <row r="219" spans="1:9" x14ac:dyDescent="0.25">
      <c r="A219" s="1">
        <v>901201136</v>
      </c>
      <c r="B219" s="1" t="s">
        <v>233</v>
      </c>
      <c r="C219" s="1"/>
      <c r="D219" s="21" t="s">
        <v>1225</v>
      </c>
      <c r="E219" s="1" t="s">
        <v>9</v>
      </c>
      <c r="F219" s="1" t="s">
        <v>1226</v>
      </c>
      <c r="G219" s="1" t="s">
        <v>15</v>
      </c>
      <c r="H219" s="9">
        <f>_xlfn.XLOOKUP(Tabla3[[#This Row],[Nit]],Hoja2!A219:A1642,Hoja2!C219:C1642)</f>
        <v>1000000</v>
      </c>
      <c r="I219" s="1">
        <f>_xlfn.XLOOKUP(Tabla3[[#This Row],[Cliente]],'[1]Datos Contacto'!$A$2:$A$23,'[1]Datos Contacto'!$E$2:$E$23,0,0,1)</f>
        <v>0</v>
      </c>
    </row>
    <row r="220" spans="1:9" x14ac:dyDescent="0.25">
      <c r="A220" s="1">
        <v>901354155</v>
      </c>
      <c r="B220" s="1" t="s">
        <v>234</v>
      </c>
      <c r="C220" s="1"/>
      <c r="D220" s="21" t="s">
        <v>1225</v>
      </c>
      <c r="E220" s="1" t="s">
        <v>9</v>
      </c>
      <c r="F220" s="1" t="s">
        <v>1226</v>
      </c>
      <c r="G220" s="1" t="s">
        <v>7</v>
      </c>
      <c r="H220" s="9">
        <f>_xlfn.XLOOKUP(Tabla3[[#This Row],[Nit]],Hoja2!A220:A1643,Hoja2!C220:C1643)</f>
        <v>20000000</v>
      </c>
      <c r="I220" s="1">
        <f>_xlfn.XLOOKUP(Tabla3[[#This Row],[Cliente]],'[1]Datos Contacto'!$A$2:$A$23,'[1]Datos Contacto'!$E$2:$E$23,0,0,1)</f>
        <v>0</v>
      </c>
    </row>
    <row r="221" spans="1:9" x14ac:dyDescent="0.25">
      <c r="A221" s="1">
        <v>901676446</v>
      </c>
      <c r="B221" s="1" t="s">
        <v>235</v>
      </c>
      <c r="C221" s="1"/>
      <c r="D221" s="21" t="s">
        <v>1225</v>
      </c>
      <c r="E221" s="1" t="s">
        <v>9</v>
      </c>
      <c r="F221" s="1" t="s">
        <v>1226</v>
      </c>
      <c r="G221" s="1" t="s">
        <v>11</v>
      </c>
      <c r="H221" s="9">
        <f>_xlfn.XLOOKUP(Tabla3[[#This Row],[Nit]],Hoja2!A221:A1644,Hoja2!C221:C1644)</f>
        <v>1000000</v>
      </c>
      <c r="I221" s="1">
        <f>_xlfn.XLOOKUP(Tabla3[[#This Row],[Cliente]],'[1]Datos Contacto'!$A$2:$A$23,'[1]Datos Contacto'!$E$2:$E$23,0,0,1)</f>
        <v>0</v>
      </c>
    </row>
    <row r="222" spans="1:9" x14ac:dyDescent="0.25">
      <c r="A222" s="1">
        <v>1030583941</v>
      </c>
      <c r="B222" s="1" t="s">
        <v>236</v>
      </c>
      <c r="C222" s="1"/>
      <c r="D222" s="21" t="s">
        <v>1225</v>
      </c>
      <c r="E222" s="1" t="s">
        <v>9</v>
      </c>
      <c r="F222" s="1" t="s">
        <v>1226</v>
      </c>
      <c r="G222" s="1" t="s">
        <v>11</v>
      </c>
      <c r="H222" s="9">
        <f>_xlfn.XLOOKUP(Tabla3[[#This Row],[Nit]],Hoja2!A222:A1645,Hoja2!C222:C1645)</f>
        <v>1000000</v>
      </c>
      <c r="I222" s="1">
        <f>_xlfn.XLOOKUP(Tabla3[[#This Row],[Cliente]],'[1]Datos Contacto'!$A$2:$A$23,'[1]Datos Contacto'!$E$2:$E$23,0,0,1)</f>
        <v>0</v>
      </c>
    </row>
    <row r="223" spans="1:9" x14ac:dyDescent="0.25">
      <c r="A223" s="1">
        <v>901419267</v>
      </c>
      <c r="B223" s="1" t="s">
        <v>237</v>
      </c>
      <c r="C223" s="1"/>
      <c r="D223" s="21" t="s">
        <v>1225</v>
      </c>
      <c r="E223" s="1" t="s">
        <v>9</v>
      </c>
      <c r="F223" s="1" t="s">
        <v>1226</v>
      </c>
      <c r="G223" s="1" t="s">
        <v>36</v>
      </c>
      <c r="H223" s="9">
        <f>_xlfn.XLOOKUP(Tabla3[[#This Row],[Nit]],Hoja2!A223:A1646,Hoja2!C223:C1646)</f>
        <v>1000000</v>
      </c>
      <c r="I223" s="1">
        <f>_xlfn.XLOOKUP(Tabla3[[#This Row],[Cliente]],'[1]Datos Contacto'!$A$2:$A$23,'[1]Datos Contacto'!$E$2:$E$23,0,0,1)</f>
        <v>0</v>
      </c>
    </row>
    <row r="224" spans="1:9" x14ac:dyDescent="0.25">
      <c r="A224" s="1">
        <v>900435523</v>
      </c>
      <c r="B224" s="1" t="s">
        <v>238</v>
      </c>
      <c r="C224" s="1"/>
      <c r="D224" s="21" t="s">
        <v>1225</v>
      </c>
      <c r="E224" s="1" t="s">
        <v>9</v>
      </c>
      <c r="F224" s="1" t="s">
        <v>1226</v>
      </c>
      <c r="G224" s="1" t="s">
        <v>11</v>
      </c>
      <c r="H224" s="9">
        <f>_xlfn.XLOOKUP(Tabla3[[#This Row],[Nit]],Hoja2!A224:A1647,Hoja2!C224:C1647)</f>
        <v>1000000</v>
      </c>
      <c r="I224" s="1">
        <f>_xlfn.XLOOKUP(Tabla3[[#This Row],[Cliente]],'[1]Datos Contacto'!$A$2:$A$23,'[1]Datos Contacto'!$E$2:$E$23,0,0,1)</f>
        <v>0</v>
      </c>
    </row>
    <row r="225" spans="1:9" x14ac:dyDescent="0.25">
      <c r="A225" s="1">
        <v>79874820</v>
      </c>
      <c r="B225" s="1" t="s">
        <v>239</v>
      </c>
      <c r="C225" s="1"/>
      <c r="D225" s="21" t="s">
        <v>1225</v>
      </c>
      <c r="E225" s="1" t="s">
        <v>9</v>
      </c>
      <c r="F225" s="1" t="s">
        <v>1226</v>
      </c>
      <c r="G225" s="1" t="s">
        <v>20</v>
      </c>
      <c r="H225" s="9">
        <f>_xlfn.XLOOKUP(Tabla3[[#This Row],[Nit]],Hoja2!A225:A1648,Hoja2!C225:C1648)</f>
        <v>1000000</v>
      </c>
      <c r="I225" s="1">
        <f>_xlfn.XLOOKUP(Tabla3[[#This Row],[Cliente]],'[1]Datos Contacto'!$A$2:$A$23,'[1]Datos Contacto'!$E$2:$E$23,0,0,1)</f>
        <v>0</v>
      </c>
    </row>
    <row r="226" spans="1:9" x14ac:dyDescent="0.25">
      <c r="A226" s="1">
        <v>900209725</v>
      </c>
      <c r="B226" s="1" t="s">
        <v>240</v>
      </c>
      <c r="C226" s="1"/>
      <c r="D226" s="21" t="s">
        <v>1225</v>
      </c>
      <c r="E226" s="1" t="s">
        <v>9</v>
      </c>
      <c r="F226" s="1" t="s">
        <v>1226</v>
      </c>
      <c r="G226" s="1" t="s">
        <v>11</v>
      </c>
      <c r="H226" s="9">
        <f>_xlfn.XLOOKUP(Tabla3[[#This Row],[Nit]],Hoja2!A226:A1649,Hoja2!C226:C1649)</f>
        <v>1000000</v>
      </c>
      <c r="I226" s="1">
        <f>_xlfn.XLOOKUP(Tabla3[[#This Row],[Cliente]],'[1]Datos Contacto'!$A$2:$A$23,'[1]Datos Contacto'!$E$2:$E$23,0,0,1)</f>
        <v>0</v>
      </c>
    </row>
    <row r="227" spans="1:9" x14ac:dyDescent="0.25">
      <c r="A227" s="1">
        <v>901481571</v>
      </c>
      <c r="B227" s="1" t="s">
        <v>241</v>
      </c>
      <c r="C227" s="1"/>
      <c r="D227" s="21" t="s">
        <v>1225</v>
      </c>
      <c r="E227" s="1" t="s">
        <v>9</v>
      </c>
      <c r="F227" s="1" t="s">
        <v>1226</v>
      </c>
      <c r="G227" s="1" t="s">
        <v>11</v>
      </c>
      <c r="H227" s="9">
        <f>_xlfn.XLOOKUP(Tabla3[[#This Row],[Nit]],Hoja2!A227:A1650,Hoja2!C227:C1650)</f>
        <v>1000000</v>
      </c>
      <c r="I227" s="1">
        <f>_xlfn.XLOOKUP(Tabla3[[#This Row],[Cliente]],'[1]Datos Contacto'!$A$2:$A$23,'[1]Datos Contacto'!$E$2:$E$23,0,0,1)</f>
        <v>0</v>
      </c>
    </row>
    <row r="228" spans="1:9" x14ac:dyDescent="0.25">
      <c r="A228" s="1">
        <v>380</v>
      </c>
      <c r="B228" s="1" t="s">
        <v>242</v>
      </c>
      <c r="C228" s="1"/>
      <c r="D228" s="21" t="s">
        <v>1225</v>
      </c>
      <c r="E228" s="1" t="s">
        <v>9</v>
      </c>
      <c r="F228" s="1" t="s">
        <v>1226</v>
      </c>
      <c r="G228" s="1" t="s">
        <v>11</v>
      </c>
      <c r="H228" s="9">
        <f>_xlfn.XLOOKUP(Tabla3[[#This Row],[Nit]],Hoja2!A228:A1651,Hoja2!C228:C1651)</f>
        <v>1000000</v>
      </c>
      <c r="I228" s="1">
        <f>_xlfn.XLOOKUP(Tabla3[[#This Row],[Cliente]],'[1]Datos Contacto'!$A$2:$A$23,'[1]Datos Contacto'!$E$2:$E$23,0,0,1)</f>
        <v>0</v>
      </c>
    </row>
    <row r="229" spans="1:9" x14ac:dyDescent="0.25">
      <c r="A229" s="1">
        <v>900296384</v>
      </c>
      <c r="B229" s="1" t="s">
        <v>243</v>
      </c>
      <c r="C229" s="1"/>
      <c r="D229" s="21" t="s">
        <v>1225</v>
      </c>
      <c r="E229" s="1" t="s">
        <v>9</v>
      </c>
      <c r="F229" s="1" t="s">
        <v>1226</v>
      </c>
      <c r="G229" s="1" t="s">
        <v>11</v>
      </c>
      <c r="H229" s="9">
        <f>_xlfn.XLOOKUP(Tabla3[[#This Row],[Nit]],Hoja2!A229:A1652,Hoja2!C229:C1652)</f>
        <v>1000000</v>
      </c>
      <c r="I229" s="1">
        <f>_xlfn.XLOOKUP(Tabla3[[#This Row],[Cliente]],'[1]Datos Contacto'!$A$2:$A$23,'[1]Datos Contacto'!$E$2:$E$23,0,0,1)</f>
        <v>0</v>
      </c>
    </row>
    <row r="230" spans="1:9" x14ac:dyDescent="0.25">
      <c r="A230" s="1">
        <v>431</v>
      </c>
      <c r="B230" s="1" t="s">
        <v>244</v>
      </c>
      <c r="C230" s="1"/>
      <c r="D230" s="21" t="s">
        <v>1225</v>
      </c>
      <c r="E230" s="1" t="s">
        <v>9</v>
      </c>
      <c r="F230" s="1" t="s">
        <v>1226</v>
      </c>
      <c r="G230" s="1" t="s">
        <v>11</v>
      </c>
      <c r="H230" s="9">
        <f>_xlfn.XLOOKUP(Tabla3[[#This Row],[Nit]],Hoja2!A230:A1653,Hoja2!C230:C1653)</f>
        <v>1000000</v>
      </c>
      <c r="I230" s="1">
        <f>_xlfn.XLOOKUP(Tabla3[[#This Row],[Cliente]],'[1]Datos Contacto'!$A$2:$A$23,'[1]Datos Contacto'!$E$2:$E$23,0,0,1)</f>
        <v>0</v>
      </c>
    </row>
    <row r="231" spans="1:9" x14ac:dyDescent="0.25">
      <c r="A231" s="1">
        <v>901566501</v>
      </c>
      <c r="B231" s="1" t="s">
        <v>245</v>
      </c>
      <c r="C231" s="1"/>
      <c r="D231" s="21" t="s">
        <v>1225</v>
      </c>
      <c r="E231" s="1" t="s">
        <v>9</v>
      </c>
      <c r="F231" s="1" t="s">
        <v>1226</v>
      </c>
      <c r="G231" s="1" t="s">
        <v>20</v>
      </c>
      <c r="H231" s="9">
        <f>_xlfn.XLOOKUP(Tabla3[[#This Row],[Nit]],Hoja2!A231:A1654,Hoja2!C231:C1654)</f>
        <v>1000000</v>
      </c>
      <c r="I231" s="1">
        <f>_xlfn.XLOOKUP(Tabla3[[#This Row],[Cliente]],'[1]Datos Contacto'!$A$2:$A$23,'[1]Datos Contacto'!$E$2:$E$23,0,0,1)</f>
        <v>0</v>
      </c>
    </row>
    <row r="232" spans="1:9" x14ac:dyDescent="0.25">
      <c r="A232" s="1">
        <v>860015928</v>
      </c>
      <c r="B232" s="1" t="s">
        <v>246</v>
      </c>
      <c r="C232" s="1"/>
      <c r="D232" s="21" t="s">
        <v>1225</v>
      </c>
      <c r="E232" s="1" t="s">
        <v>9</v>
      </c>
      <c r="F232" s="1" t="s">
        <v>1226</v>
      </c>
      <c r="G232" s="1" t="s">
        <v>15</v>
      </c>
      <c r="H232" s="9">
        <f>_xlfn.XLOOKUP(Tabla3[[#This Row],[Nit]],Hoja2!A232:A1655,Hoja2!C232:C1655)</f>
        <v>1000000</v>
      </c>
      <c r="I232" s="1">
        <f>_xlfn.XLOOKUP(Tabla3[[#This Row],[Cliente]],'[1]Datos Contacto'!$A$2:$A$23,'[1]Datos Contacto'!$E$2:$E$23,0,0,1)</f>
        <v>0</v>
      </c>
    </row>
    <row r="233" spans="1:9" x14ac:dyDescent="0.25">
      <c r="A233" s="1">
        <v>900865924</v>
      </c>
      <c r="B233" s="1" t="s">
        <v>247</v>
      </c>
      <c r="C233" s="1"/>
      <c r="D233" s="21" t="s">
        <v>1225</v>
      </c>
      <c r="E233" s="1" t="s">
        <v>9</v>
      </c>
      <c r="F233" s="1" t="s">
        <v>1226</v>
      </c>
      <c r="G233" s="1" t="s">
        <v>11</v>
      </c>
      <c r="H233" s="9">
        <f>_xlfn.XLOOKUP(Tabla3[[#This Row],[Nit]],Hoja2!A233:A1656,Hoja2!C233:C1656)</f>
        <v>1000000</v>
      </c>
      <c r="I233" s="1">
        <f>_xlfn.XLOOKUP(Tabla3[[#This Row],[Cliente]],'[1]Datos Contacto'!$A$2:$A$23,'[1]Datos Contacto'!$E$2:$E$23,0,0,1)</f>
        <v>0</v>
      </c>
    </row>
    <row r="234" spans="1:9" x14ac:dyDescent="0.25">
      <c r="A234" s="1">
        <v>28686887</v>
      </c>
      <c r="B234" s="1" t="s">
        <v>248</v>
      </c>
      <c r="C234" s="1"/>
      <c r="D234" s="21" t="s">
        <v>1225</v>
      </c>
      <c r="E234" s="1" t="s">
        <v>9</v>
      </c>
      <c r="F234" s="1" t="s">
        <v>1226</v>
      </c>
      <c r="G234" s="1" t="s">
        <v>15</v>
      </c>
      <c r="H234" s="9">
        <f>_xlfn.XLOOKUP(Tabla3[[#This Row],[Nit]],Hoja2!A234:A1657,Hoja2!C234:C1657)</f>
        <v>1000000</v>
      </c>
      <c r="I234" s="1">
        <f>_xlfn.XLOOKUP(Tabla3[[#This Row],[Cliente]],'[1]Datos Contacto'!$A$2:$A$23,'[1]Datos Contacto'!$E$2:$E$23,0,0,1)</f>
        <v>0</v>
      </c>
    </row>
    <row r="235" spans="1:9" x14ac:dyDescent="0.25">
      <c r="A235" s="1">
        <v>900139910</v>
      </c>
      <c r="B235" s="1" t="s">
        <v>249</v>
      </c>
      <c r="C235" s="1"/>
      <c r="D235" s="21" t="s">
        <v>1225</v>
      </c>
      <c r="E235" s="1" t="s">
        <v>9</v>
      </c>
      <c r="F235" s="1" t="s">
        <v>1226</v>
      </c>
      <c r="G235" s="1" t="s">
        <v>7</v>
      </c>
      <c r="H235" s="9">
        <f>_xlfn.XLOOKUP(Tabla3[[#This Row],[Nit]],Hoja2!A235:A1658,Hoja2!C235:C1658)</f>
        <v>5000000</v>
      </c>
      <c r="I235" s="1">
        <f>_xlfn.XLOOKUP(Tabla3[[#This Row],[Cliente]],'[1]Datos Contacto'!$A$2:$A$23,'[1]Datos Contacto'!$E$2:$E$23,0,0,1)</f>
        <v>0</v>
      </c>
    </row>
    <row r="236" spans="1:9" x14ac:dyDescent="0.25">
      <c r="A236" s="1">
        <v>901566837</v>
      </c>
      <c r="B236" s="1" t="s">
        <v>250</v>
      </c>
      <c r="C236" s="1"/>
      <c r="D236" s="21" t="s">
        <v>1225</v>
      </c>
      <c r="E236" s="1" t="s">
        <v>6</v>
      </c>
      <c r="F236" s="1" t="s">
        <v>1226</v>
      </c>
      <c r="G236" s="1" t="s">
        <v>7</v>
      </c>
      <c r="H236" s="9">
        <f>_xlfn.XLOOKUP(Tabla3[[#This Row],[Nit]],Hoja2!A236:A1659,Hoja2!C236:C1659)</f>
        <v>40000000</v>
      </c>
      <c r="I236" s="1">
        <f>_xlfn.XLOOKUP(Tabla3[[#This Row],[Cliente]],'[1]Datos Contacto'!$A$2:$A$23,'[1]Datos Contacto'!$E$2:$E$23,0,0,1)</f>
        <v>0</v>
      </c>
    </row>
    <row r="237" spans="1:9" x14ac:dyDescent="0.25">
      <c r="A237" s="1">
        <v>1073682538</v>
      </c>
      <c r="B237" s="1" t="s">
        <v>251</v>
      </c>
      <c r="C237" s="1"/>
      <c r="D237" s="21" t="s">
        <v>1225</v>
      </c>
      <c r="E237" s="1" t="s">
        <v>9</v>
      </c>
      <c r="F237" s="1" t="s">
        <v>1226</v>
      </c>
      <c r="G237" s="1" t="s">
        <v>7</v>
      </c>
      <c r="H237" s="9">
        <f>_xlfn.XLOOKUP(Tabla3[[#This Row],[Nit]],Hoja2!A237:A1660,Hoja2!C237:C1660)</f>
        <v>1000000</v>
      </c>
      <c r="I237" s="1">
        <f>_xlfn.XLOOKUP(Tabla3[[#This Row],[Cliente]],'[1]Datos Contacto'!$A$2:$A$23,'[1]Datos Contacto'!$E$2:$E$23,0,0,1)</f>
        <v>0</v>
      </c>
    </row>
    <row r="238" spans="1:9" x14ac:dyDescent="0.25">
      <c r="A238" s="1">
        <v>51724627</v>
      </c>
      <c r="B238" s="1" t="s">
        <v>252</v>
      </c>
      <c r="C238" s="1"/>
      <c r="D238" s="21" t="s">
        <v>1225</v>
      </c>
      <c r="E238" s="1" t="s">
        <v>9</v>
      </c>
      <c r="F238" s="1" t="s">
        <v>1226</v>
      </c>
      <c r="G238" s="1" t="s">
        <v>11</v>
      </c>
      <c r="H238" s="9">
        <f>_xlfn.XLOOKUP(Tabla3[[#This Row],[Nit]],Hoja2!A238:A1661,Hoja2!C238:C1661)</f>
        <v>1000000</v>
      </c>
      <c r="I238" s="1">
        <f>_xlfn.XLOOKUP(Tabla3[[#This Row],[Cliente]],'[1]Datos Contacto'!$A$2:$A$23,'[1]Datos Contacto'!$E$2:$E$23,0,0,1)</f>
        <v>0</v>
      </c>
    </row>
    <row r="239" spans="1:9" x14ac:dyDescent="0.25">
      <c r="A239" s="1">
        <v>900725984</v>
      </c>
      <c r="B239" s="1" t="s">
        <v>253</v>
      </c>
      <c r="C239" s="1"/>
      <c r="D239" s="21" t="s">
        <v>1225</v>
      </c>
      <c r="E239" s="1" t="s">
        <v>9</v>
      </c>
      <c r="F239" s="1" t="s">
        <v>1226</v>
      </c>
      <c r="G239" s="1" t="s">
        <v>7</v>
      </c>
      <c r="H239" s="9">
        <f>_xlfn.XLOOKUP(Tabla3[[#This Row],[Nit]],Hoja2!A239:A1662,Hoja2!C239:C1662)</f>
        <v>1000000</v>
      </c>
      <c r="I239" s="1">
        <f>_xlfn.XLOOKUP(Tabla3[[#This Row],[Cliente]],'[1]Datos Contacto'!$A$2:$A$23,'[1]Datos Contacto'!$E$2:$E$23,0,0,1)</f>
        <v>0</v>
      </c>
    </row>
    <row r="240" spans="1:9" x14ac:dyDescent="0.25">
      <c r="A240" s="1">
        <v>1023878021</v>
      </c>
      <c r="B240" s="1" t="s">
        <v>254</v>
      </c>
      <c r="C240" s="1"/>
      <c r="D240" s="21" t="s">
        <v>1225</v>
      </c>
      <c r="E240" s="1" t="s">
        <v>9</v>
      </c>
      <c r="F240" s="1" t="s">
        <v>1226</v>
      </c>
      <c r="G240" s="1" t="s">
        <v>20</v>
      </c>
      <c r="H240" s="9">
        <f>_xlfn.XLOOKUP(Tabla3[[#This Row],[Nit]],Hoja2!A240:A1663,Hoja2!C240:C1663)</f>
        <v>1000000</v>
      </c>
      <c r="I240" s="1">
        <f>_xlfn.XLOOKUP(Tabla3[[#This Row],[Cliente]],'[1]Datos Contacto'!$A$2:$A$23,'[1]Datos Contacto'!$E$2:$E$23,0,0,1)</f>
        <v>0</v>
      </c>
    </row>
    <row r="241" spans="1:9" x14ac:dyDescent="0.25">
      <c r="A241" s="1">
        <v>900546973</v>
      </c>
      <c r="B241" s="1" t="s">
        <v>255</v>
      </c>
      <c r="C241" s="1"/>
      <c r="D241" s="21" t="s">
        <v>1225</v>
      </c>
      <c r="E241" s="1" t="s">
        <v>9</v>
      </c>
      <c r="F241" s="1" t="s">
        <v>1226</v>
      </c>
      <c r="G241" s="1" t="s">
        <v>11</v>
      </c>
      <c r="H241" s="9">
        <f>_xlfn.XLOOKUP(Tabla3[[#This Row],[Nit]],Hoja2!A241:A1664,Hoja2!C241:C1664)</f>
        <v>1000000</v>
      </c>
      <c r="I241" s="1">
        <f>_xlfn.XLOOKUP(Tabla3[[#This Row],[Cliente]],'[1]Datos Contacto'!$A$2:$A$23,'[1]Datos Contacto'!$E$2:$E$23,0,0,1)</f>
        <v>0</v>
      </c>
    </row>
    <row r="242" spans="1:9" x14ac:dyDescent="0.25">
      <c r="A242" s="1">
        <v>1054373658</v>
      </c>
      <c r="B242" s="1" t="s">
        <v>256</v>
      </c>
      <c r="C242" s="1"/>
      <c r="D242" s="21" t="s">
        <v>1225</v>
      </c>
      <c r="E242" s="1" t="s">
        <v>9</v>
      </c>
      <c r="F242" s="1" t="s">
        <v>1226</v>
      </c>
      <c r="G242" s="1" t="s">
        <v>11</v>
      </c>
      <c r="H242" s="9">
        <f>_xlfn.XLOOKUP(Tabla3[[#This Row],[Nit]],Hoja2!A242:A1665,Hoja2!C242:C1665)</f>
        <v>1000000</v>
      </c>
      <c r="I242" s="1">
        <f>_xlfn.XLOOKUP(Tabla3[[#This Row],[Cliente]],'[1]Datos Contacto'!$A$2:$A$23,'[1]Datos Contacto'!$E$2:$E$23,0,0,1)</f>
        <v>0</v>
      </c>
    </row>
    <row r="243" spans="1:9" x14ac:dyDescent="0.25">
      <c r="A243" s="1">
        <v>1018469888</v>
      </c>
      <c r="B243" s="1" t="s">
        <v>257</v>
      </c>
      <c r="C243" s="1"/>
      <c r="D243" s="21" t="s">
        <v>1225</v>
      </c>
      <c r="E243" s="1" t="s">
        <v>9</v>
      </c>
      <c r="F243" s="1" t="s">
        <v>1226</v>
      </c>
      <c r="G243" s="1" t="s">
        <v>15</v>
      </c>
      <c r="H243" s="9">
        <f>_xlfn.XLOOKUP(Tabla3[[#This Row],[Nit]],Hoja2!A243:A1666,Hoja2!C243:C1666)</f>
        <v>1000000</v>
      </c>
      <c r="I243" s="1">
        <f>_xlfn.XLOOKUP(Tabla3[[#This Row],[Cliente]],'[1]Datos Contacto'!$A$2:$A$23,'[1]Datos Contacto'!$E$2:$E$23,0,0,1)</f>
        <v>0</v>
      </c>
    </row>
    <row r="244" spans="1:9" x14ac:dyDescent="0.25">
      <c r="A244" s="1">
        <v>80224281</v>
      </c>
      <c r="B244" s="1" t="s">
        <v>258</v>
      </c>
      <c r="C244" s="1"/>
      <c r="D244" s="21" t="s">
        <v>1225</v>
      </c>
      <c r="E244" s="1" t="s">
        <v>9</v>
      </c>
      <c r="F244" s="1" t="s">
        <v>1226</v>
      </c>
      <c r="G244" s="1" t="s">
        <v>36</v>
      </c>
      <c r="H244" s="9">
        <f>_xlfn.XLOOKUP(Tabla3[[#This Row],[Nit]],Hoja2!A244:A1667,Hoja2!C244:C1667)</f>
        <v>1000000</v>
      </c>
      <c r="I244" s="1">
        <f>_xlfn.XLOOKUP(Tabla3[[#This Row],[Cliente]],'[1]Datos Contacto'!$A$2:$A$23,'[1]Datos Contacto'!$E$2:$E$23,0,0,1)</f>
        <v>0</v>
      </c>
    </row>
    <row r="245" spans="1:9" x14ac:dyDescent="0.25">
      <c r="A245" s="1">
        <v>1073252152</v>
      </c>
      <c r="B245" s="1" t="s">
        <v>259</v>
      </c>
      <c r="C245" s="1"/>
      <c r="D245" s="21" t="s">
        <v>1225</v>
      </c>
      <c r="E245" s="1" t="s">
        <v>9</v>
      </c>
      <c r="F245" s="1" t="s">
        <v>1226</v>
      </c>
      <c r="G245" s="1" t="s">
        <v>7</v>
      </c>
      <c r="H245" s="9">
        <f>_xlfn.XLOOKUP(Tabla3[[#This Row],[Nit]],Hoja2!A245:A1668,Hoja2!C245:C1668)</f>
        <v>1000000</v>
      </c>
      <c r="I245" s="1">
        <f>_xlfn.XLOOKUP(Tabla3[[#This Row],[Cliente]],'[1]Datos Contacto'!$A$2:$A$23,'[1]Datos Contacto'!$E$2:$E$23,0,0,1)</f>
        <v>0</v>
      </c>
    </row>
    <row r="246" spans="1:9" x14ac:dyDescent="0.25">
      <c r="A246" s="1">
        <v>1136880310</v>
      </c>
      <c r="B246" s="1" t="s">
        <v>260</v>
      </c>
      <c r="C246" s="1"/>
      <c r="D246" s="21" t="s">
        <v>1225</v>
      </c>
      <c r="E246" s="1" t="s">
        <v>9</v>
      </c>
      <c r="F246" s="1" t="s">
        <v>1226</v>
      </c>
      <c r="G246" s="1" t="s">
        <v>48</v>
      </c>
      <c r="H246" s="9">
        <f>_xlfn.XLOOKUP(Tabla3[[#This Row],[Nit]],Hoja2!A246:A1669,Hoja2!C246:C1669)</f>
        <v>1000000</v>
      </c>
      <c r="I246" s="1">
        <f>_xlfn.XLOOKUP(Tabla3[[#This Row],[Cliente]],'[1]Datos Contacto'!$A$2:$A$23,'[1]Datos Contacto'!$E$2:$E$23,0,0,1)</f>
        <v>0</v>
      </c>
    </row>
    <row r="247" spans="1:9" x14ac:dyDescent="0.25">
      <c r="A247" s="1">
        <v>860514747</v>
      </c>
      <c r="B247" s="1" t="s">
        <v>261</v>
      </c>
      <c r="C247" s="1"/>
      <c r="D247" s="21" t="s">
        <v>1225</v>
      </c>
      <c r="E247" s="1" t="s">
        <v>9</v>
      </c>
      <c r="F247" s="1" t="s">
        <v>1226</v>
      </c>
      <c r="G247" s="1" t="s">
        <v>15</v>
      </c>
      <c r="H247" s="9">
        <f>_xlfn.XLOOKUP(Tabla3[[#This Row],[Nit]],Hoja2!A247:A1670,Hoja2!C247:C1670)</f>
        <v>1000000</v>
      </c>
      <c r="I247" s="1">
        <f>_xlfn.XLOOKUP(Tabla3[[#This Row],[Cliente]],'[1]Datos Contacto'!$A$2:$A$23,'[1]Datos Contacto'!$E$2:$E$23,0,0,1)</f>
        <v>0</v>
      </c>
    </row>
    <row r="248" spans="1:9" x14ac:dyDescent="0.25">
      <c r="A248" s="1">
        <v>80133924</v>
      </c>
      <c r="B248" s="1" t="s">
        <v>262</v>
      </c>
      <c r="C248" s="1"/>
      <c r="D248" s="21" t="s">
        <v>1225</v>
      </c>
      <c r="E248" s="1" t="s">
        <v>9</v>
      </c>
      <c r="F248" s="1" t="s">
        <v>1226</v>
      </c>
      <c r="G248" s="1" t="s">
        <v>11</v>
      </c>
      <c r="H248" s="9">
        <f>_xlfn.XLOOKUP(Tabla3[[#This Row],[Nit]],Hoja2!A248:A1671,Hoja2!C248:C1671)</f>
        <v>1000000</v>
      </c>
      <c r="I248" s="1">
        <f>_xlfn.XLOOKUP(Tabla3[[#This Row],[Cliente]],'[1]Datos Contacto'!$A$2:$A$23,'[1]Datos Contacto'!$E$2:$E$23,0,0,1)</f>
        <v>0</v>
      </c>
    </row>
    <row r="249" spans="1:9" x14ac:dyDescent="0.25">
      <c r="A249" s="1">
        <v>141</v>
      </c>
      <c r="B249" s="1" t="s">
        <v>263</v>
      </c>
      <c r="C249" s="1"/>
      <c r="D249" s="21" t="s">
        <v>1225</v>
      </c>
      <c r="E249" s="1" t="s">
        <v>9</v>
      </c>
      <c r="F249" s="1" t="s">
        <v>1226</v>
      </c>
      <c r="G249" s="1" t="s">
        <v>11</v>
      </c>
      <c r="H249" s="9">
        <f>_xlfn.XLOOKUP(Tabla3[[#This Row],[Nit]],Hoja2!A249:A1672,Hoja2!C249:C1672)</f>
        <v>1000000</v>
      </c>
      <c r="I249" s="1">
        <f>_xlfn.XLOOKUP(Tabla3[[#This Row],[Cliente]],'[1]Datos Contacto'!$A$2:$A$23,'[1]Datos Contacto'!$E$2:$E$23,0,0,1)</f>
        <v>0</v>
      </c>
    </row>
    <row r="250" spans="1:9" x14ac:dyDescent="0.25">
      <c r="A250" s="1">
        <v>1015409243</v>
      </c>
      <c r="B250" s="1" t="s">
        <v>264</v>
      </c>
      <c r="C250" s="1"/>
      <c r="D250" s="21" t="s">
        <v>1225</v>
      </c>
      <c r="E250" s="1" t="s">
        <v>9</v>
      </c>
      <c r="F250" s="1" t="s">
        <v>1226</v>
      </c>
      <c r="G250" s="1" t="s">
        <v>7</v>
      </c>
      <c r="H250" s="9">
        <f>_xlfn.XLOOKUP(Tabla3[[#This Row],[Nit]],Hoja2!A250:A1673,Hoja2!C250:C1673)</f>
        <v>1000000</v>
      </c>
      <c r="I250" s="1">
        <f>_xlfn.XLOOKUP(Tabla3[[#This Row],[Cliente]],'[1]Datos Contacto'!$A$2:$A$23,'[1]Datos Contacto'!$E$2:$E$23,0,0,1)</f>
        <v>0</v>
      </c>
    </row>
    <row r="251" spans="1:9" x14ac:dyDescent="0.25">
      <c r="A251" s="1">
        <v>1002587009</v>
      </c>
      <c r="B251" s="1" t="s">
        <v>265</v>
      </c>
      <c r="C251" s="1"/>
      <c r="D251" s="21" t="s">
        <v>1225</v>
      </c>
      <c r="E251" s="1" t="s">
        <v>9</v>
      </c>
      <c r="F251" s="1" t="s">
        <v>1226</v>
      </c>
      <c r="G251" s="1" t="s">
        <v>15</v>
      </c>
      <c r="H251" s="9">
        <f>_xlfn.XLOOKUP(Tabla3[[#This Row],[Nit]],Hoja2!A251:A1674,Hoja2!C251:C1674)</f>
        <v>1000000</v>
      </c>
      <c r="I251" s="1">
        <f>_xlfn.XLOOKUP(Tabla3[[#This Row],[Cliente]],'[1]Datos Contacto'!$A$2:$A$23,'[1]Datos Contacto'!$E$2:$E$23,0,0,1)</f>
        <v>0</v>
      </c>
    </row>
    <row r="252" spans="1:9" x14ac:dyDescent="0.25">
      <c r="A252" s="1">
        <v>136</v>
      </c>
      <c r="B252" s="1" t="s">
        <v>266</v>
      </c>
      <c r="C252" s="1"/>
      <c r="D252" s="21" t="s">
        <v>1225</v>
      </c>
      <c r="E252" s="1" t="s">
        <v>9</v>
      </c>
      <c r="F252" s="1" t="s">
        <v>1226</v>
      </c>
      <c r="G252" s="1" t="s">
        <v>11</v>
      </c>
      <c r="H252" s="9">
        <f>_xlfn.XLOOKUP(Tabla3[[#This Row],[Nit]],Hoja2!A252:A1675,Hoja2!C252:C1675)</f>
        <v>1000000</v>
      </c>
      <c r="I252" s="1">
        <f>_xlfn.XLOOKUP(Tabla3[[#This Row],[Cliente]],'[1]Datos Contacto'!$A$2:$A$23,'[1]Datos Contacto'!$E$2:$E$23,0,0,1)</f>
        <v>0</v>
      </c>
    </row>
    <row r="253" spans="1:9" x14ac:dyDescent="0.25">
      <c r="A253" s="1">
        <v>133</v>
      </c>
      <c r="B253" s="1" t="s">
        <v>267</v>
      </c>
      <c r="C253" s="1"/>
      <c r="D253" s="21" t="s">
        <v>1225</v>
      </c>
      <c r="E253" s="1" t="s">
        <v>9</v>
      </c>
      <c r="F253" s="1" t="s">
        <v>1226</v>
      </c>
      <c r="G253" s="1" t="s">
        <v>11</v>
      </c>
      <c r="H253" s="9">
        <f>_xlfn.XLOOKUP(Tabla3[[#This Row],[Nit]],Hoja2!A253:A1676,Hoja2!C253:C1676)</f>
        <v>1000000</v>
      </c>
      <c r="I253" s="1">
        <f>_xlfn.XLOOKUP(Tabla3[[#This Row],[Cliente]],'[1]Datos Contacto'!$A$2:$A$23,'[1]Datos Contacto'!$E$2:$E$23,0,0,1)</f>
        <v>0</v>
      </c>
    </row>
    <row r="254" spans="1:9" x14ac:dyDescent="0.25">
      <c r="A254" s="1">
        <v>901459927</v>
      </c>
      <c r="B254" s="1" t="s">
        <v>268</v>
      </c>
      <c r="C254" s="1"/>
      <c r="D254" s="21" t="s">
        <v>1225</v>
      </c>
      <c r="E254" s="1" t="s">
        <v>9</v>
      </c>
      <c r="F254" s="1" t="s">
        <v>1226</v>
      </c>
      <c r="G254" s="1" t="s">
        <v>11</v>
      </c>
      <c r="H254" s="9">
        <f>_xlfn.XLOOKUP(Tabla3[[#This Row],[Nit]],Hoja2!A254:A1677,Hoja2!C254:C1677)</f>
        <v>1000000</v>
      </c>
      <c r="I254" s="1">
        <f>_xlfn.XLOOKUP(Tabla3[[#This Row],[Cliente]],'[1]Datos Contacto'!$A$2:$A$23,'[1]Datos Contacto'!$E$2:$E$23,0,0,1)</f>
        <v>0</v>
      </c>
    </row>
    <row r="255" spans="1:9" x14ac:dyDescent="0.25">
      <c r="A255" s="1">
        <v>901158148</v>
      </c>
      <c r="B255" s="1" t="s">
        <v>269</v>
      </c>
      <c r="C255" s="1"/>
      <c r="D255" s="21" t="s">
        <v>1225</v>
      </c>
      <c r="E255" s="1" t="s">
        <v>9</v>
      </c>
      <c r="F255" s="1" t="s">
        <v>1226</v>
      </c>
      <c r="G255" s="1" t="s">
        <v>7</v>
      </c>
      <c r="H255" s="9">
        <f>_xlfn.XLOOKUP(Tabla3[[#This Row],[Nit]],Hoja2!A255:A1678,Hoja2!C255:C1678)</f>
        <v>1000000</v>
      </c>
      <c r="I255" s="1">
        <f>_xlfn.XLOOKUP(Tabla3[[#This Row],[Cliente]],'[1]Datos Contacto'!$A$2:$A$23,'[1]Datos Contacto'!$E$2:$E$23,0,0,1)</f>
        <v>0</v>
      </c>
    </row>
    <row r="256" spans="1:9" x14ac:dyDescent="0.25">
      <c r="A256" s="1">
        <v>830080167</v>
      </c>
      <c r="B256" s="1" t="s">
        <v>270</v>
      </c>
      <c r="C256" s="1"/>
      <c r="D256" s="21" t="s">
        <v>1225</v>
      </c>
      <c r="E256" s="1" t="s">
        <v>9</v>
      </c>
      <c r="F256" s="1" t="s">
        <v>1226</v>
      </c>
      <c r="G256" s="1" t="s">
        <v>11</v>
      </c>
      <c r="H256" s="9">
        <f>_xlfn.XLOOKUP(Tabla3[[#This Row],[Nit]],Hoja2!A256:A1679,Hoja2!C256:C1679)</f>
        <v>50000000</v>
      </c>
      <c r="I256" s="1">
        <f>_xlfn.XLOOKUP(Tabla3[[#This Row],[Cliente]],'[1]Datos Contacto'!$A$2:$A$23,'[1]Datos Contacto'!$E$2:$E$23,0,0,1)</f>
        <v>0</v>
      </c>
    </row>
    <row r="257" spans="1:9" x14ac:dyDescent="0.25">
      <c r="A257" s="1">
        <v>830080157</v>
      </c>
      <c r="B257" s="1" t="s">
        <v>271</v>
      </c>
      <c r="C257" s="1"/>
      <c r="D257" s="21" t="s">
        <v>1225</v>
      </c>
      <c r="E257" s="1" t="s">
        <v>9</v>
      </c>
      <c r="F257" s="1" t="s">
        <v>1226</v>
      </c>
      <c r="G257" s="1" t="s">
        <v>11</v>
      </c>
      <c r="H257" s="9">
        <f>_xlfn.XLOOKUP(Tabla3[[#This Row],[Nit]],Hoja2!A257:A1680,Hoja2!C257:C1680)</f>
        <v>50000000</v>
      </c>
      <c r="I257" s="1">
        <f>_xlfn.XLOOKUP(Tabla3[[#This Row],[Cliente]],'[1]Datos Contacto'!$A$2:$A$23,'[1]Datos Contacto'!$E$2:$E$23,0,0,1)</f>
        <v>0</v>
      </c>
    </row>
    <row r="258" spans="1:9" x14ac:dyDescent="0.25">
      <c r="A258" s="1">
        <v>901603377</v>
      </c>
      <c r="B258" s="1" t="s">
        <v>272</v>
      </c>
      <c r="C258" s="1"/>
      <c r="D258" s="21" t="s">
        <v>1225</v>
      </c>
      <c r="E258" s="1" t="s">
        <v>9</v>
      </c>
      <c r="F258" s="1" t="s">
        <v>1226</v>
      </c>
      <c r="G258" s="1" t="s">
        <v>7</v>
      </c>
      <c r="H258" s="9">
        <f>_xlfn.XLOOKUP(Tabla3[[#This Row],[Nit]],Hoja2!A258:A1681,Hoja2!C258:C1681)</f>
        <v>1000000</v>
      </c>
      <c r="I258" s="1">
        <f>_xlfn.XLOOKUP(Tabla3[[#This Row],[Cliente]],'[1]Datos Contacto'!$A$2:$A$23,'[1]Datos Contacto'!$E$2:$E$23,0,0,1)</f>
        <v>0</v>
      </c>
    </row>
    <row r="259" spans="1:9" x14ac:dyDescent="0.25">
      <c r="A259" s="1">
        <v>901572366</v>
      </c>
      <c r="B259" s="1" t="s">
        <v>273</v>
      </c>
      <c r="C259" s="1"/>
      <c r="D259" s="21" t="s">
        <v>1225</v>
      </c>
      <c r="E259" s="1" t="s">
        <v>9</v>
      </c>
      <c r="F259" s="1" t="s">
        <v>1226</v>
      </c>
      <c r="G259" s="1" t="s">
        <v>11</v>
      </c>
      <c r="H259" s="9">
        <f>_xlfn.XLOOKUP(Tabla3[[#This Row],[Nit]],Hoja2!A259:A1682,Hoja2!C259:C1682)</f>
        <v>100000000</v>
      </c>
      <c r="I259" s="1">
        <f>_xlfn.XLOOKUP(Tabla3[[#This Row],[Cliente]],'[1]Datos Contacto'!$A$2:$A$23,'[1]Datos Contacto'!$E$2:$E$23,0,0,1)</f>
        <v>0</v>
      </c>
    </row>
    <row r="260" spans="1:9" x14ac:dyDescent="0.25">
      <c r="A260" s="1">
        <v>901779098</v>
      </c>
      <c r="B260" s="1" t="s">
        <v>274</v>
      </c>
      <c r="C260" s="1"/>
      <c r="D260" s="21" t="s">
        <v>1225</v>
      </c>
      <c r="E260" s="1" t="s">
        <v>9</v>
      </c>
      <c r="F260" s="1" t="s">
        <v>1226</v>
      </c>
      <c r="G260" s="1" t="s">
        <v>7</v>
      </c>
      <c r="H260" s="9">
        <f>_xlfn.XLOOKUP(Tabla3[[#This Row],[Nit]],Hoja2!A260:A1683,Hoja2!C260:C1683)</f>
        <v>1000000</v>
      </c>
      <c r="I260" s="1">
        <f>_xlfn.XLOOKUP(Tabla3[[#This Row],[Cliente]],'[1]Datos Contacto'!$A$2:$A$23,'[1]Datos Contacto'!$E$2:$E$23,0,0,1)</f>
        <v>0</v>
      </c>
    </row>
    <row r="261" spans="1:9" x14ac:dyDescent="0.25">
      <c r="A261" s="1">
        <v>900194945</v>
      </c>
      <c r="B261" s="1" t="s">
        <v>275</v>
      </c>
      <c r="C261" s="1"/>
      <c r="D261" s="21" t="s">
        <v>1225</v>
      </c>
      <c r="E261" s="1" t="s">
        <v>79</v>
      </c>
      <c r="F261" s="1" t="s">
        <v>1226</v>
      </c>
      <c r="G261" s="1" t="s">
        <v>7</v>
      </c>
      <c r="H261" s="9">
        <f>_xlfn.XLOOKUP(Tabla3[[#This Row],[Nit]],Hoja2!A261:A1684,Hoja2!C261:C1684)</f>
        <v>6000000</v>
      </c>
      <c r="I261" s="1">
        <f>_xlfn.XLOOKUP(Tabla3[[#This Row],[Cliente]],'[1]Datos Contacto'!$A$2:$A$23,'[1]Datos Contacto'!$E$2:$E$23,0,0,1)</f>
        <v>0</v>
      </c>
    </row>
    <row r="262" spans="1:9" x14ac:dyDescent="0.25">
      <c r="A262" s="1">
        <v>51735274</v>
      </c>
      <c r="B262" s="1" t="s">
        <v>276</v>
      </c>
      <c r="C262" s="1"/>
      <c r="D262" s="21" t="s">
        <v>1225</v>
      </c>
      <c r="E262" s="1" t="s">
        <v>9</v>
      </c>
      <c r="F262" s="1" t="s">
        <v>1226</v>
      </c>
      <c r="G262" s="1" t="s">
        <v>11</v>
      </c>
      <c r="H262" s="9">
        <f>_xlfn.XLOOKUP(Tabla3[[#This Row],[Nit]],Hoja2!A262:A1685,Hoja2!C262:C1685)</f>
        <v>1000000</v>
      </c>
      <c r="I262" s="1">
        <f>_xlfn.XLOOKUP(Tabla3[[#This Row],[Cliente]],'[1]Datos Contacto'!$A$2:$A$23,'[1]Datos Contacto'!$E$2:$E$23,0,0,1)</f>
        <v>0</v>
      </c>
    </row>
    <row r="263" spans="1:9" x14ac:dyDescent="0.25">
      <c r="A263" s="1">
        <v>39759834</v>
      </c>
      <c r="B263" s="1" t="s">
        <v>277</v>
      </c>
      <c r="C263" s="1"/>
      <c r="D263" s="21" t="s">
        <v>1225</v>
      </c>
      <c r="E263" s="1" t="s">
        <v>9</v>
      </c>
      <c r="F263" s="1" t="s">
        <v>1226</v>
      </c>
      <c r="G263" s="1" t="s">
        <v>11</v>
      </c>
      <c r="H263" s="9">
        <f>_xlfn.XLOOKUP(Tabla3[[#This Row],[Nit]],Hoja2!A263:A1686,Hoja2!C263:C1686)</f>
        <v>1000000</v>
      </c>
      <c r="I263" s="1">
        <f>_xlfn.XLOOKUP(Tabla3[[#This Row],[Cliente]],'[1]Datos Contacto'!$A$2:$A$23,'[1]Datos Contacto'!$E$2:$E$23,0,0,1)</f>
        <v>0</v>
      </c>
    </row>
    <row r="264" spans="1:9" x14ac:dyDescent="0.25">
      <c r="A264" s="1">
        <v>65713302</v>
      </c>
      <c r="B264" s="1" t="s">
        <v>278</v>
      </c>
      <c r="C264" s="1"/>
      <c r="D264" s="21" t="s">
        <v>1225</v>
      </c>
      <c r="E264" s="1" t="s">
        <v>9</v>
      </c>
      <c r="F264" s="1" t="s">
        <v>1226</v>
      </c>
      <c r="G264" s="1" t="s">
        <v>11</v>
      </c>
      <c r="H264" s="9">
        <f>_xlfn.XLOOKUP(Tabla3[[#This Row],[Nit]],Hoja2!A264:A1687,Hoja2!C264:C1687)</f>
        <v>1000000</v>
      </c>
      <c r="I264" s="1">
        <f>_xlfn.XLOOKUP(Tabla3[[#This Row],[Cliente]],'[1]Datos Contacto'!$A$2:$A$23,'[1]Datos Contacto'!$E$2:$E$23,0,0,1)</f>
        <v>0</v>
      </c>
    </row>
    <row r="265" spans="1:9" x14ac:dyDescent="0.25">
      <c r="A265" s="1">
        <v>901036087</v>
      </c>
      <c r="B265" s="1" t="s">
        <v>279</v>
      </c>
      <c r="C265" s="1"/>
      <c r="D265" s="21" t="s">
        <v>1225</v>
      </c>
      <c r="E265" s="1" t="s">
        <v>9</v>
      </c>
      <c r="F265" s="1" t="s">
        <v>1226</v>
      </c>
      <c r="G265" s="1" t="s">
        <v>20</v>
      </c>
      <c r="H265" s="9">
        <f>_xlfn.XLOOKUP(Tabla3[[#This Row],[Nit]],Hoja2!A265:A1688,Hoja2!C265:C1688)</f>
        <v>1000000</v>
      </c>
      <c r="I265" s="1">
        <f>_xlfn.XLOOKUP(Tabla3[[#This Row],[Cliente]],'[1]Datos Contacto'!$A$2:$A$23,'[1]Datos Contacto'!$E$2:$E$23,0,0,1)</f>
        <v>0</v>
      </c>
    </row>
    <row r="266" spans="1:9" x14ac:dyDescent="0.25">
      <c r="A266" s="1">
        <v>28140067</v>
      </c>
      <c r="B266" s="1" t="s">
        <v>280</v>
      </c>
      <c r="C266" s="1"/>
      <c r="D266" s="21" t="s">
        <v>1225</v>
      </c>
      <c r="E266" s="1" t="s">
        <v>9</v>
      </c>
      <c r="F266" s="1" t="s">
        <v>1226</v>
      </c>
      <c r="G266" s="1" t="s">
        <v>11</v>
      </c>
      <c r="H266" s="9">
        <f>_xlfn.XLOOKUP(Tabla3[[#This Row],[Nit]],Hoja2!A266:A1689,Hoja2!C266:C1689)</f>
        <v>1000000</v>
      </c>
      <c r="I266" s="1">
        <f>_xlfn.XLOOKUP(Tabla3[[#This Row],[Cliente]],'[1]Datos Contacto'!$A$2:$A$23,'[1]Datos Contacto'!$E$2:$E$23,0,0,1)</f>
        <v>0</v>
      </c>
    </row>
    <row r="267" spans="1:9" x14ac:dyDescent="0.25">
      <c r="A267" s="1">
        <v>1025521518</v>
      </c>
      <c r="B267" s="1" t="s">
        <v>281</v>
      </c>
      <c r="C267" s="1"/>
      <c r="D267" s="21" t="s">
        <v>1225</v>
      </c>
      <c r="E267" s="1" t="s">
        <v>9</v>
      </c>
      <c r="F267" s="1" t="s">
        <v>1226</v>
      </c>
      <c r="G267" s="1" t="s">
        <v>20</v>
      </c>
      <c r="H267" s="9">
        <f>_xlfn.XLOOKUP(Tabla3[[#This Row],[Nit]],Hoja2!A267:A1690,Hoja2!C267:C1690)</f>
        <v>1000000</v>
      </c>
      <c r="I267" s="1">
        <f>_xlfn.XLOOKUP(Tabla3[[#This Row],[Cliente]],'[1]Datos Contacto'!$A$2:$A$23,'[1]Datos Contacto'!$E$2:$E$23,0,0,1)</f>
        <v>0</v>
      </c>
    </row>
    <row r="268" spans="1:9" x14ac:dyDescent="0.25">
      <c r="A268" s="1">
        <v>19364723</v>
      </c>
      <c r="B268" s="1" t="s">
        <v>282</v>
      </c>
      <c r="C268" s="1"/>
      <c r="D268" s="21" t="s">
        <v>1225</v>
      </c>
      <c r="E268" s="1" t="s">
        <v>9</v>
      </c>
      <c r="F268" s="1" t="s">
        <v>1226</v>
      </c>
      <c r="G268" s="1" t="s">
        <v>7</v>
      </c>
      <c r="H268" s="9">
        <f>_xlfn.XLOOKUP(Tabla3[[#This Row],[Nit]],Hoja2!A268:A1691,Hoja2!C268:C1691)</f>
        <v>1000000</v>
      </c>
      <c r="I268" s="1">
        <f>_xlfn.XLOOKUP(Tabla3[[#This Row],[Cliente]],'[1]Datos Contacto'!$A$2:$A$23,'[1]Datos Contacto'!$E$2:$E$23,0,0,1)</f>
        <v>0</v>
      </c>
    </row>
    <row r="269" spans="1:9" x14ac:dyDescent="0.25">
      <c r="A269" s="1">
        <v>743553112</v>
      </c>
      <c r="B269" s="1" t="s">
        <v>283</v>
      </c>
      <c r="C269" s="1"/>
      <c r="D269" s="21" t="s">
        <v>1225</v>
      </c>
      <c r="E269" s="1" t="s">
        <v>9</v>
      </c>
      <c r="F269" s="1" t="s">
        <v>1226</v>
      </c>
      <c r="G269" s="1" t="s">
        <v>15</v>
      </c>
      <c r="H269" s="9">
        <f>_xlfn.XLOOKUP(Tabla3[[#This Row],[Nit]],Hoja2!A269:A1692,Hoja2!C269:C1692)</f>
        <v>0</v>
      </c>
      <c r="I269" s="1">
        <f>_xlfn.XLOOKUP(Tabla3[[#This Row],[Cliente]],'[1]Datos Contacto'!$A$2:$A$23,'[1]Datos Contacto'!$E$2:$E$23,0,0,1)</f>
        <v>0</v>
      </c>
    </row>
    <row r="270" spans="1:9" x14ac:dyDescent="0.25">
      <c r="A270" s="1">
        <v>79878168</v>
      </c>
      <c r="B270" s="1" t="s">
        <v>284</v>
      </c>
      <c r="C270" s="1"/>
      <c r="D270" s="21" t="s">
        <v>1225</v>
      </c>
      <c r="E270" s="1" t="s">
        <v>9</v>
      </c>
      <c r="F270" s="1" t="s">
        <v>1226</v>
      </c>
      <c r="G270" s="1" t="s">
        <v>11</v>
      </c>
      <c r="H270" s="9">
        <f>_xlfn.XLOOKUP(Tabla3[[#This Row],[Nit]],Hoja2!A270:A1693,Hoja2!C270:C1693)</f>
        <v>0</v>
      </c>
      <c r="I270" s="1">
        <f>_xlfn.XLOOKUP(Tabla3[[#This Row],[Cliente]],'[1]Datos Contacto'!$A$2:$A$23,'[1]Datos Contacto'!$E$2:$E$23,0,0,1)</f>
        <v>0</v>
      </c>
    </row>
    <row r="271" spans="1:9" x14ac:dyDescent="0.25">
      <c r="A271" s="1">
        <v>10223996605</v>
      </c>
      <c r="B271" s="1" t="s">
        <v>285</v>
      </c>
      <c r="C271" s="1"/>
      <c r="D271" s="21" t="s">
        <v>1225</v>
      </c>
      <c r="E271" s="1" t="s">
        <v>9</v>
      </c>
      <c r="F271" s="1" t="s">
        <v>1226</v>
      </c>
      <c r="G271" s="1" t="s">
        <v>15</v>
      </c>
      <c r="H271" s="9">
        <f>_xlfn.XLOOKUP(Tabla3[[#This Row],[Nit]],Hoja2!A271:A1694,Hoja2!C271:C1694)</f>
        <v>0</v>
      </c>
      <c r="I271" s="1">
        <f>_xlfn.XLOOKUP(Tabla3[[#This Row],[Cliente]],'[1]Datos Contacto'!$A$2:$A$23,'[1]Datos Contacto'!$E$2:$E$23,0,0,1)</f>
        <v>0</v>
      </c>
    </row>
    <row r="272" spans="1:9" x14ac:dyDescent="0.25">
      <c r="A272" s="1">
        <v>9011614782</v>
      </c>
      <c r="B272" s="1" t="s">
        <v>286</v>
      </c>
      <c r="C272" s="1"/>
      <c r="D272" s="21" t="s">
        <v>1225</v>
      </c>
      <c r="E272" s="1" t="s">
        <v>9</v>
      </c>
      <c r="F272" s="1" t="s">
        <v>1226</v>
      </c>
      <c r="G272" s="1" t="s">
        <v>15</v>
      </c>
      <c r="H272" s="9">
        <f>_xlfn.XLOOKUP(Tabla3[[#This Row],[Nit]],Hoja2!A272:A1695,Hoja2!C272:C1695)</f>
        <v>0</v>
      </c>
      <c r="I272" s="1">
        <f>_xlfn.XLOOKUP(Tabla3[[#This Row],[Cliente]],'[1]Datos Contacto'!$A$2:$A$23,'[1]Datos Contacto'!$E$2:$E$23,0,0,1)</f>
        <v>0</v>
      </c>
    </row>
    <row r="273" spans="1:9" x14ac:dyDescent="0.25">
      <c r="A273" s="1">
        <v>405</v>
      </c>
      <c r="B273" s="1" t="s">
        <v>287</v>
      </c>
      <c r="C273" s="1"/>
      <c r="D273" s="21" t="s">
        <v>1225</v>
      </c>
      <c r="E273" s="1" t="s">
        <v>9</v>
      </c>
      <c r="F273" s="1" t="s">
        <v>1226</v>
      </c>
      <c r="G273" s="1" t="s">
        <v>11</v>
      </c>
      <c r="H273" s="9">
        <f>_xlfn.XLOOKUP(Tabla3[[#This Row],[Nit]],Hoja2!A273:A1696,Hoja2!C273:C1696)</f>
        <v>1000000</v>
      </c>
      <c r="I273" s="1">
        <f>_xlfn.XLOOKUP(Tabla3[[#This Row],[Cliente]],'[1]Datos Contacto'!$A$2:$A$23,'[1]Datos Contacto'!$E$2:$E$23,0,0,1)</f>
        <v>0</v>
      </c>
    </row>
    <row r="274" spans="1:9" x14ac:dyDescent="0.25">
      <c r="A274" s="1">
        <v>51555538</v>
      </c>
      <c r="B274" s="1" t="s">
        <v>288</v>
      </c>
      <c r="C274" s="1"/>
      <c r="D274" s="21" t="s">
        <v>1225</v>
      </c>
      <c r="E274" s="1" t="s">
        <v>9</v>
      </c>
      <c r="F274" s="1" t="s">
        <v>1226</v>
      </c>
      <c r="G274" s="1" t="s">
        <v>11</v>
      </c>
      <c r="H274" s="9">
        <f>_xlfn.XLOOKUP(Tabla3[[#This Row],[Nit]],Hoja2!A274:A1697,Hoja2!C274:C1697)</f>
        <v>1000000</v>
      </c>
      <c r="I274" s="1">
        <f>_xlfn.XLOOKUP(Tabla3[[#This Row],[Cliente]],'[1]Datos Contacto'!$A$2:$A$23,'[1]Datos Contacto'!$E$2:$E$23,0,0,1)</f>
        <v>0</v>
      </c>
    </row>
    <row r="275" spans="1:9" x14ac:dyDescent="0.25">
      <c r="A275" s="1">
        <v>455</v>
      </c>
      <c r="B275" s="1" t="s">
        <v>289</v>
      </c>
      <c r="C275" s="1"/>
      <c r="D275" s="21" t="s">
        <v>1225</v>
      </c>
      <c r="E275" s="1" t="s">
        <v>9</v>
      </c>
      <c r="F275" s="1" t="s">
        <v>1226</v>
      </c>
      <c r="G275" s="1" t="s">
        <v>11</v>
      </c>
      <c r="H275" s="9">
        <f>_xlfn.XLOOKUP(Tabla3[[#This Row],[Nit]],Hoja2!A275:A1698,Hoja2!C275:C1698)</f>
        <v>1000000</v>
      </c>
      <c r="I275" s="1">
        <f>_xlfn.XLOOKUP(Tabla3[[#This Row],[Cliente]],'[1]Datos Contacto'!$A$2:$A$23,'[1]Datos Contacto'!$E$2:$E$23,0,0,1)</f>
        <v>0</v>
      </c>
    </row>
    <row r="276" spans="1:9" x14ac:dyDescent="0.25">
      <c r="A276" s="1">
        <v>900315777</v>
      </c>
      <c r="B276" s="1" t="s">
        <v>290</v>
      </c>
      <c r="C276" s="1"/>
      <c r="D276" s="21" t="s">
        <v>1225</v>
      </c>
      <c r="E276" s="1" t="s">
        <v>6</v>
      </c>
      <c r="F276" s="1" t="s">
        <v>1226</v>
      </c>
      <c r="G276" s="1" t="s">
        <v>11</v>
      </c>
      <c r="H276" s="9">
        <f>_xlfn.XLOOKUP(Tabla3[[#This Row],[Nit]],Hoja2!A276:A1699,Hoja2!C276:C1699)</f>
        <v>1000000</v>
      </c>
      <c r="I276" s="1">
        <f>_xlfn.XLOOKUP(Tabla3[[#This Row],[Cliente]],'[1]Datos Contacto'!$A$2:$A$23,'[1]Datos Contacto'!$E$2:$E$23,0,0,1)</f>
        <v>0</v>
      </c>
    </row>
    <row r="277" spans="1:9" x14ac:dyDescent="0.25">
      <c r="A277" s="1">
        <v>79101284</v>
      </c>
      <c r="B277" s="1" t="s">
        <v>291</v>
      </c>
      <c r="C277" s="1"/>
      <c r="D277" s="21" t="s">
        <v>1225</v>
      </c>
      <c r="E277" s="1" t="s">
        <v>9</v>
      </c>
      <c r="F277" s="1" t="s">
        <v>1226</v>
      </c>
      <c r="G277" s="1" t="s">
        <v>11</v>
      </c>
      <c r="H277" s="9">
        <f>_xlfn.XLOOKUP(Tabla3[[#This Row],[Nit]],Hoja2!A277:A1700,Hoja2!C277:C1700)</f>
        <v>1000000</v>
      </c>
      <c r="I277" s="1">
        <f>_xlfn.XLOOKUP(Tabla3[[#This Row],[Cliente]],'[1]Datos Contacto'!$A$2:$A$23,'[1]Datos Contacto'!$E$2:$E$23,0,0,1)</f>
        <v>0</v>
      </c>
    </row>
    <row r="278" spans="1:9" x14ac:dyDescent="0.25">
      <c r="A278" s="1">
        <v>371</v>
      </c>
      <c r="B278" s="1" t="s">
        <v>292</v>
      </c>
      <c r="C278" s="1"/>
      <c r="D278" s="21" t="s">
        <v>1225</v>
      </c>
      <c r="E278" s="1" t="s">
        <v>9</v>
      </c>
      <c r="F278" s="1" t="s">
        <v>1226</v>
      </c>
      <c r="G278" s="1" t="s">
        <v>11</v>
      </c>
      <c r="H278" s="9">
        <f>_xlfn.XLOOKUP(Tabla3[[#This Row],[Nit]],Hoja2!A278:A1701,Hoja2!C278:C1701)</f>
        <v>1000000</v>
      </c>
      <c r="I278" s="1">
        <f>_xlfn.XLOOKUP(Tabla3[[#This Row],[Cliente]],'[1]Datos Contacto'!$A$2:$A$23,'[1]Datos Contacto'!$E$2:$E$23,0,0,1)</f>
        <v>0</v>
      </c>
    </row>
    <row r="279" spans="1:9" x14ac:dyDescent="0.25">
      <c r="A279" s="1">
        <v>1030533761</v>
      </c>
      <c r="B279" s="1" t="s">
        <v>293</v>
      </c>
      <c r="C279" s="1"/>
      <c r="D279" s="21" t="s">
        <v>1225</v>
      </c>
      <c r="E279" s="1" t="s">
        <v>9</v>
      </c>
      <c r="F279" s="1" t="s">
        <v>1226</v>
      </c>
      <c r="G279" s="1" t="s">
        <v>11</v>
      </c>
      <c r="H279" s="9">
        <f>_xlfn.XLOOKUP(Tabla3[[#This Row],[Nit]],Hoja2!A279:A1702,Hoja2!C279:C1702)</f>
        <v>1000000</v>
      </c>
      <c r="I279" s="1">
        <f>_xlfn.XLOOKUP(Tabla3[[#This Row],[Cliente]],'[1]Datos Contacto'!$A$2:$A$23,'[1]Datos Contacto'!$E$2:$E$23,0,0,1)</f>
        <v>0</v>
      </c>
    </row>
    <row r="280" spans="1:9" x14ac:dyDescent="0.25">
      <c r="A280" s="1">
        <v>404</v>
      </c>
      <c r="B280" s="1" t="s">
        <v>294</v>
      </c>
      <c r="C280" s="1"/>
      <c r="D280" s="21" t="s">
        <v>1225</v>
      </c>
      <c r="E280" s="1" t="s">
        <v>9</v>
      </c>
      <c r="F280" s="1" t="s">
        <v>1226</v>
      </c>
      <c r="G280" s="1" t="s">
        <v>20</v>
      </c>
      <c r="H280" s="9">
        <f>_xlfn.XLOOKUP(Tabla3[[#This Row],[Nit]],Hoja2!A280:A1703,Hoja2!C280:C1703)</f>
        <v>1000000</v>
      </c>
      <c r="I280" s="1">
        <f>_xlfn.XLOOKUP(Tabla3[[#This Row],[Cliente]],'[1]Datos Contacto'!$A$2:$A$23,'[1]Datos Contacto'!$E$2:$E$23,0,0,1)</f>
        <v>0</v>
      </c>
    </row>
    <row r="281" spans="1:9" x14ac:dyDescent="0.25">
      <c r="A281" s="1">
        <v>1070918005</v>
      </c>
      <c r="B281" s="1" t="s">
        <v>295</v>
      </c>
      <c r="C281" s="1"/>
      <c r="D281" s="21" t="s">
        <v>1225</v>
      </c>
      <c r="E281" s="1" t="s">
        <v>6</v>
      </c>
      <c r="F281" s="1" t="s">
        <v>1226</v>
      </c>
      <c r="G281" s="1" t="s">
        <v>11</v>
      </c>
      <c r="H281" s="9">
        <f>_xlfn.XLOOKUP(Tabla3[[#This Row],[Nit]],Hoja2!A281:A1704,Hoja2!C281:C1704)</f>
        <v>1000000</v>
      </c>
      <c r="I281" s="1">
        <f>_xlfn.XLOOKUP(Tabla3[[#This Row],[Cliente]],'[1]Datos Contacto'!$A$2:$A$23,'[1]Datos Contacto'!$E$2:$E$23,0,0,1)</f>
        <v>0</v>
      </c>
    </row>
    <row r="282" spans="1:9" x14ac:dyDescent="0.25">
      <c r="A282" s="1">
        <v>170</v>
      </c>
      <c r="B282" s="1" t="s">
        <v>296</v>
      </c>
      <c r="C282" s="1"/>
      <c r="D282" s="21" t="s">
        <v>1225</v>
      </c>
      <c r="E282" s="1" t="s">
        <v>9</v>
      </c>
      <c r="F282" s="1" t="s">
        <v>1226</v>
      </c>
      <c r="G282" s="1" t="s">
        <v>11</v>
      </c>
      <c r="H282" s="9">
        <f>_xlfn.XLOOKUP(Tabla3[[#This Row],[Nit]],Hoja2!A282:A1705,Hoja2!C282:C1705)</f>
        <v>1000000</v>
      </c>
      <c r="I282" s="1">
        <f>_xlfn.XLOOKUP(Tabla3[[#This Row],[Cliente]],'[1]Datos Contacto'!$A$2:$A$23,'[1]Datos Contacto'!$E$2:$E$23,0,0,1)</f>
        <v>0</v>
      </c>
    </row>
    <row r="283" spans="1:9" x14ac:dyDescent="0.25">
      <c r="A283" s="1">
        <v>1032443078</v>
      </c>
      <c r="B283" s="1" t="s">
        <v>297</v>
      </c>
      <c r="C283" s="1"/>
      <c r="D283" s="21" t="s">
        <v>1225</v>
      </c>
      <c r="E283" s="1" t="s">
        <v>9</v>
      </c>
      <c r="F283" s="1" t="s">
        <v>1226</v>
      </c>
      <c r="G283" s="1" t="s">
        <v>11</v>
      </c>
      <c r="H283" s="9">
        <f>_xlfn.XLOOKUP(Tabla3[[#This Row],[Nit]],Hoja2!A283:A1706,Hoja2!C283:C1706)</f>
        <v>1000000</v>
      </c>
      <c r="I283" s="1">
        <f>_xlfn.XLOOKUP(Tabla3[[#This Row],[Cliente]],'[1]Datos Contacto'!$A$2:$A$23,'[1]Datos Contacto'!$E$2:$E$23,0,0,1)</f>
        <v>0</v>
      </c>
    </row>
    <row r="284" spans="1:9" x14ac:dyDescent="0.25">
      <c r="A284" s="1">
        <v>901228833</v>
      </c>
      <c r="B284" s="1" t="s">
        <v>298</v>
      </c>
      <c r="C284" s="1"/>
      <c r="D284" s="21" t="s">
        <v>1225</v>
      </c>
      <c r="E284" s="1" t="s">
        <v>9</v>
      </c>
      <c r="F284" s="1" t="s">
        <v>1226</v>
      </c>
      <c r="G284" s="1" t="s">
        <v>20</v>
      </c>
      <c r="H284" s="9">
        <f>_xlfn.XLOOKUP(Tabla3[[#This Row],[Nit]],Hoja2!A284:A1707,Hoja2!C284:C1707)</f>
        <v>1000000</v>
      </c>
      <c r="I284" s="1">
        <f>_xlfn.XLOOKUP(Tabla3[[#This Row],[Cliente]],'[1]Datos Contacto'!$A$2:$A$23,'[1]Datos Contacto'!$E$2:$E$23,0,0,1)</f>
        <v>0</v>
      </c>
    </row>
    <row r="285" spans="1:9" x14ac:dyDescent="0.25">
      <c r="A285" s="1">
        <v>901105059</v>
      </c>
      <c r="B285" s="1" t="s">
        <v>299</v>
      </c>
      <c r="C285" s="1"/>
      <c r="D285" s="21" t="s">
        <v>1225</v>
      </c>
      <c r="E285" s="1" t="s">
        <v>9</v>
      </c>
      <c r="F285" s="1" t="s">
        <v>1226</v>
      </c>
      <c r="G285" s="1" t="s">
        <v>11</v>
      </c>
      <c r="H285" s="9">
        <f>_xlfn.XLOOKUP(Tabla3[[#This Row],[Nit]],Hoja2!A285:A1708,Hoja2!C285:C1708)</f>
        <v>1000000</v>
      </c>
      <c r="I285" s="1">
        <f>_xlfn.XLOOKUP(Tabla3[[#This Row],[Cliente]],'[1]Datos Contacto'!$A$2:$A$23,'[1]Datos Contacto'!$E$2:$E$23,0,0,1)</f>
        <v>0</v>
      </c>
    </row>
    <row r="286" spans="1:9" x14ac:dyDescent="0.25">
      <c r="A286" s="1">
        <v>17650465</v>
      </c>
      <c r="B286" s="1" t="s">
        <v>300</v>
      </c>
      <c r="C286" s="1"/>
      <c r="D286" s="21" t="s">
        <v>1225</v>
      </c>
      <c r="E286" s="1" t="s">
        <v>9</v>
      </c>
      <c r="F286" s="1" t="s">
        <v>1226</v>
      </c>
      <c r="G286" s="1" t="s">
        <v>7</v>
      </c>
      <c r="H286" s="9">
        <f>_xlfn.XLOOKUP(Tabla3[[#This Row],[Nit]],Hoja2!A286:A1709,Hoja2!C286:C1709)</f>
        <v>1000000</v>
      </c>
      <c r="I286" s="1">
        <f>_xlfn.XLOOKUP(Tabla3[[#This Row],[Cliente]],'[1]Datos Contacto'!$A$2:$A$23,'[1]Datos Contacto'!$E$2:$E$23,0,0,1)</f>
        <v>0</v>
      </c>
    </row>
    <row r="287" spans="1:9" x14ac:dyDescent="0.25">
      <c r="A287" s="1">
        <v>417</v>
      </c>
      <c r="B287" s="1" t="s">
        <v>301</v>
      </c>
      <c r="C287" s="1"/>
      <c r="D287" s="21" t="s">
        <v>1225</v>
      </c>
      <c r="E287" s="1" t="s">
        <v>9</v>
      </c>
      <c r="F287" s="1" t="s">
        <v>1226</v>
      </c>
      <c r="G287" s="1" t="s">
        <v>11</v>
      </c>
      <c r="H287" s="9">
        <f>_xlfn.XLOOKUP(Tabla3[[#This Row],[Nit]],Hoja2!A287:A1710,Hoja2!C287:C1710)</f>
        <v>1000000</v>
      </c>
      <c r="I287" s="1">
        <f>_xlfn.XLOOKUP(Tabla3[[#This Row],[Cliente]],'[1]Datos Contacto'!$A$2:$A$23,'[1]Datos Contacto'!$E$2:$E$23,0,0,1)</f>
        <v>0</v>
      </c>
    </row>
    <row r="288" spans="1:9" x14ac:dyDescent="0.25">
      <c r="A288" s="1">
        <v>92400775</v>
      </c>
      <c r="B288" s="1" t="s">
        <v>302</v>
      </c>
      <c r="C288" s="1"/>
      <c r="D288" s="21" t="s">
        <v>1225</v>
      </c>
      <c r="E288" s="1" t="s">
        <v>9</v>
      </c>
      <c r="F288" s="1" t="s">
        <v>1226</v>
      </c>
      <c r="G288" s="1" t="s">
        <v>11</v>
      </c>
      <c r="H288" s="9">
        <f>_xlfn.XLOOKUP(Tabla3[[#This Row],[Nit]],Hoja2!A288:A1711,Hoja2!C288:C1711)</f>
        <v>1000000</v>
      </c>
      <c r="I288" s="1">
        <f>_xlfn.XLOOKUP(Tabla3[[#This Row],[Cliente]],'[1]Datos Contacto'!$A$2:$A$23,'[1]Datos Contacto'!$E$2:$E$23,0,0,1)</f>
        <v>0</v>
      </c>
    </row>
    <row r="289" spans="1:9" x14ac:dyDescent="0.25">
      <c r="A289" s="1">
        <v>901123046</v>
      </c>
      <c r="B289" s="1" t="s">
        <v>303</v>
      </c>
      <c r="C289" s="1"/>
      <c r="D289" s="21" t="s">
        <v>1225</v>
      </c>
      <c r="E289" s="1" t="s">
        <v>6</v>
      </c>
      <c r="F289" s="1" t="s">
        <v>1226</v>
      </c>
      <c r="G289" s="1" t="s">
        <v>7</v>
      </c>
      <c r="H289" s="9">
        <f>_xlfn.XLOOKUP(Tabla3[[#This Row],[Nit]],Hoja2!A289:A1712,Hoja2!C289:C1712)</f>
        <v>10000000</v>
      </c>
      <c r="I289" s="1">
        <f>_xlfn.XLOOKUP(Tabla3[[#This Row],[Cliente]],'[1]Datos Contacto'!$A$2:$A$23,'[1]Datos Contacto'!$E$2:$E$23,0,0,1)</f>
        <v>0</v>
      </c>
    </row>
    <row r="290" spans="1:9" x14ac:dyDescent="0.25">
      <c r="A290" s="1">
        <v>830129418</v>
      </c>
      <c r="B290" s="1" t="s">
        <v>304</v>
      </c>
      <c r="C290" s="1"/>
      <c r="D290" s="21" t="s">
        <v>1225</v>
      </c>
      <c r="E290" s="1" t="s">
        <v>9</v>
      </c>
      <c r="F290" s="1" t="s">
        <v>1226</v>
      </c>
      <c r="G290" s="1" t="s">
        <v>7</v>
      </c>
      <c r="H290" s="9">
        <f>_xlfn.XLOOKUP(Tabla3[[#This Row],[Nit]],Hoja2!A290:A1713,Hoja2!C290:C1713)</f>
        <v>1000000</v>
      </c>
      <c r="I290" s="1">
        <f>_xlfn.XLOOKUP(Tabla3[[#This Row],[Cliente]],'[1]Datos Contacto'!$A$2:$A$23,'[1]Datos Contacto'!$E$2:$E$23,0,0,1)</f>
        <v>0</v>
      </c>
    </row>
    <row r="291" spans="1:9" x14ac:dyDescent="0.25">
      <c r="A291" s="1">
        <v>901658764</v>
      </c>
      <c r="B291" s="1" t="s">
        <v>305</v>
      </c>
      <c r="C291" s="1"/>
      <c r="D291" s="21" t="s">
        <v>1225</v>
      </c>
      <c r="E291" s="1" t="s">
        <v>9</v>
      </c>
      <c r="F291" s="1" t="s">
        <v>1226</v>
      </c>
      <c r="G291" s="1" t="s">
        <v>11</v>
      </c>
      <c r="H291" s="9">
        <f>_xlfn.XLOOKUP(Tabla3[[#This Row],[Nit]],Hoja2!A291:A1714,Hoja2!C291:C1714)</f>
        <v>1000000</v>
      </c>
      <c r="I291" s="1">
        <f>_xlfn.XLOOKUP(Tabla3[[#This Row],[Cliente]],'[1]Datos Contacto'!$A$2:$A$23,'[1]Datos Contacto'!$E$2:$E$23,0,0,1)</f>
        <v>0</v>
      </c>
    </row>
    <row r="292" spans="1:9" x14ac:dyDescent="0.25">
      <c r="A292" s="1">
        <v>422</v>
      </c>
      <c r="B292" s="1" t="s">
        <v>306</v>
      </c>
      <c r="C292" s="1"/>
      <c r="D292" s="21" t="s">
        <v>1225</v>
      </c>
      <c r="E292" s="1" t="s">
        <v>9</v>
      </c>
      <c r="F292" s="1" t="s">
        <v>1226</v>
      </c>
      <c r="G292" s="1" t="s">
        <v>7</v>
      </c>
      <c r="H292" s="9">
        <f>_xlfn.XLOOKUP(Tabla3[[#This Row],[Nit]],Hoja2!A292:A1715,Hoja2!C292:C1715)</f>
        <v>1000000</v>
      </c>
      <c r="I292" s="1">
        <f>_xlfn.XLOOKUP(Tabla3[[#This Row],[Cliente]],'[1]Datos Contacto'!$A$2:$A$23,'[1]Datos Contacto'!$E$2:$E$23,0,0,1)</f>
        <v>0</v>
      </c>
    </row>
    <row r="293" spans="1:9" x14ac:dyDescent="0.25">
      <c r="A293" s="1">
        <v>51847132</v>
      </c>
      <c r="B293" s="1" t="s">
        <v>307</v>
      </c>
      <c r="C293" s="1"/>
      <c r="D293" s="21" t="s">
        <v>1225</v>
      </c>
      <c r="E293" s="1" t="s">
        <v>9</v>
      </c>
      <c r="F293" s="1" t="s">
        <v>1226</v>
      </c>
      <c r="G293" s="1" t="s">
        <v>11</v>
      </c>
      <c r="H293" s="9">
        <f>_xlfn.XLOOKUP(Tabla3[[#This Row],[Nit]],Hoja2!A293:A1716,Hoja2!C293:C1716)</f>
        <v>1000000</v>
      </c>
      <c r="I293" s="1">
        <f>_xlfn.XLOOKUP(Tabla3[[#This Row],[Cliente]],'[1]Datos Contacto'!$A$2:$A$23,'[1]Datos Contacto'!$E$2:$E$23,0,0,1)</f>
        <v>0</v>
      </c>
    </row>
    <row r="294" spans="1:9" x14ac:dyDescent="0.25">
      <c r="A294" s="1">
        <v>901174557</v>
      </c>
      <c r="B294" s="1" t="s">
        <v>308</v>
      </c>
      <c r="C294" s="1"/>
      <c r="D294" s="21" t="s">
        <v>1225</v>
      </c>
      <c r="E294" s="1" t="s">
        <v>9</v>
      </c>
      <c r="F294" s="1" t="s">
        <v>1226</v>
      </c>
      <c r="G294" s="1" t="s">
        <v>11</v>
      </c>
      <c r="H294" s="9">
        <f>_xlfn.XLOOKUP(Tabla3[[#This Row],[Nit]],Hoja2!A294:A1717,Hoja2!C294:C1717)</f>
        <v>1000000</v>
      </c>
      <c r="I294" s="1">
        <f>_xlfn.XLOOKUP(Tabla3[[#This Row],[Cliente]],'[1]Datos Contacto'!$A$2:$A$23,'[1]Datos Contacto'!$E$2:$E$23,0,0,1)</f>
        <v>0</v>
      </c>
    </row>
    <row r="295" spans="1:9" x14ac:dyDescent="0.25">
      <c r="A295" s="1">
        <v>830092062</v>
      </c>
      <c r="B295" s="1" t="s">
        <v>309</v>
      </c>
      <c r="C295" s="1"/>
      <c r="D295" s="21" t="s">
        <v>1225</v>
      </c>
      <c r="E295" s="1" t="s">
        <v>9</v>
      </c>
      <c r="F295" s="1" t="s">
        <v>1226</v>
      </c>
      <c r="G295" s="1" t="s">
        <v>11</v>
      </c>
      <c r="H295" s="9">
        <f>_xlfn.XLOOKUP(Tabla3[[#This Row],[Nit]],Hoja2!A295:A1718,Hoja2!C295:C1718)</f>
        <v>1000000</v>
      </c>
      <c r="I295" s="1">
        <f>_xlfn.XLOOKUP(Tabla3[[#This Row],[Cliente]],'[1]Datos Contacto'!$A$2:$A$23,'[1]Datos Contacto'!$E$2:$E$23,0,0,1)</f>
        <v>0</v>
      </c>
    </row>
    <row r="296" spans="1:9" x14ac:dyDescent="0.25">
      <c r="A296" s="1">
        <v>901365098</v>
      </c>
      <c r="B296" s="1" t="s">
        <v>310</v>
      </c>
      <c r="C296" s="1"/>
      <c r="D296" s="21" t="s">
        <v>1225</v>
      </c>
      <c r="E296" s="1" t="s">
        <v>9</v>
      </c>
      <c r="F296" s="1" t="s">
        <v>1226</v>
      </c>
      <c r="G296" s="1" t="s">
        <v>15</v>
      </c>
      <c r="H296" s="9">
        <f>_xlfn.XLOOKUP(Tabla3[[#This Row],[Nit]],Hoja2!A296:A1719,Hoja2!C296:C1719)</f>
        <v>1000000</v>
      </c>
      <c r="I296" s="1">
        <f>_xlfn.XLOOKUP(Tabla3[[#This Row],[Cliente]],'[1]Datos Contacto'!$A$2:$A$23,'[1]Datos Contacto'!$E$2:$E$23,0,0,1)</f>
        <v>0</v>
      </c>
    </row>
    <row r="297" spans="1:9" x14ac:dyDescent="0.25">
      <c r="A297" s="1">
        <v>901292835</v>
      </c>
      <c r="B297" s="1" t="s">
        <v>311</v>
      </c>
      <c r="C297" s="1"/>
      <c r="D297" s="21" t="s">
        <v>1225</v>
      </c>
      <c r="E297" s="1" t="s">
        <v>9</v>
      </c>
      <c r="F297" s="1" t="s">
        <v>1226</v>
      </c>
      <c r="G297" s="1" t="s">
        <v>7</v>
      </c>
      <c r="H297" s="9">
        <f>_xlfn.XLOOKUP(Tabla3[[#This Row],[Nit]],Hoja2!A297:A1720,Hoja2!C297:C1720)</f>
        <v>1000000</v>
      </c>
      <c r="I297" s="1">
        <f>_xlfn.XLOOKUP(Tabla3[[#This Row],[Cliente]],'[1]Datos Contacto'!$A$2:$A$23,'[1]Datos Contacto'!$E$2:$E$23,0,0,1)</f>
        <v>0</v>
      </c>
    </row>
    <row r="298" spans="1:9" x14ac:dyDescent="0.25">
      <c r="A298" s="1">
        <v>901223459</v>
      </c>
      <c r="B298" s="1" t="s">
        <v>312</v>
      </c>
      <c r="C298" s="1"/>
      <c r="D298" s="21" t="s">
        <v>1225</v>
      </c>
      <c r="E298" s="1" t="s">
        <v>9</v>
      </c>
      <c r="F298" s="1" t="s">
        <v>1226</v>
      </c>
      <c r="G298" s="1" t="s">
        <v>7</v>
      </c>
      <c r="H298" s="9">
        <f>_xlfn.XLOOKUP(Tabla3[[#This Row],[Nit]],Hoja2!A298:A1721,Hoja2!C298:C1721)</f>
        <v>1000000</v>
      </c>
      <c r="I298" s="1">
        <f>_xlfn.XLOOKUP(Tabla3[[#This Row],[Cliente]],'[1]Datos Contacto'!$A$2:$A$23,'[1]Datos Contacto'!$E$2:$E$23,0,0,1)</f>
        <v>0</v>
      </c>
    </row>
    <row r="299" spans="1:9" x14ac:dyDescent="0.25">
      <c r="A299" s="1">
        <v>901013454</v>
      </c>
      <c r="B299" s="1" t="s">
        <v>313</v>
      </c>
      <c r="C299" s="1"/>
      <c r="D299" s="21" t="s">
        <v>1225</v>
      </c>
      <c r="E299" s="1" t="s">
        <v>9</v>
      </c>
      <c r="F299" s="1" t="s">
        <v>1226</v>
      </c>
      <c r="G299" s="1" t="s">
        <v>7</v>
      </c>
      <c r="H299" s="9">
        <f>_xlfn.XLOOKUP(Tabla3[[#This Row],[Nit]],Hoja2!A299:A1722,Hoja2!C299:C1722)</f>
        <v>1000000</v>
      </c>
      <c r="I299" s="1">
        <f>_xlfn.XLOOKUP(Tabla3[[#This Row],[Cliente]],'[1]Datos Contacto'!$A$2:$A$23,'[1]Datos Contacto'!$E$2:$E$23,0,0,1)</f>
        <v>0</v>
      </c>
    </row>
    <row r="300" spans="1:9" x14ac:dyDescent="0.25">
      <c r="A300" s="1">
        <v>1030559056</v>
      </c>
      <c r="B300" s="1" t="s">
        <v>314</v>
      </c>
      <c r="C300" s="1"/>
      <c r="D300" s="21" t="s">
        <v>1225</v>
      </c>
      <c r="E300" s="1" t="s">
        <v>9</v>
      </c>
      <c r="F300" s="1" t="s">
        <v>1226</v>
      </c>
      <c r="G300" s="1" t="s">
        <v>15</v>
      </c>
      <c r="H300" s="9">
        <f>_xlfn.XLOOKUP(Tabla3[[#This Row],[Nit]],Hoja2!A300:A1723,Hoja2!C300:C1723)</f>
        <v>1000000</v>
      </c>
      <c r="I300" s="1">
        <f>_xlfn.XLOOKUP(Tabla3[[#This Row],[Cliente]],'[1]Datos Contacto'!$A$2:$A$23,'[1]Datos Contacto'!$E$2:$E$23,0,0,1)</f>
        <v>0</v>
      </c>
    </row>
    <row r="301" spans="1:9" x14ac:dyDescent="0.25">
      <c r="A301" s="1">
        <v>40186132</v>
      </c>
      <c r="B301" s="1" t="s">
        <v>315</v>
      </c>
      <c r="C301" s="1"/>
      <c r="D301" s="21" t="s">
        <v>1225</v>
      </c>
      <c r="E301" s="1" t="s">
        <v>9</v>
      </c>
      <c r="F301" s="1" t="s">
        <v>1226</v>
      </c>
      <c r="G301" s="1" t="s">
        <v>11</v>
      </c>
      <c r="H301" s="9">
        <f>_xlfn.XLOOKUP(Tabla3[[#This Row],[Nit]],Hoja2!A301:A1724,Hoja2!C301:C1724)</f>
        <v>1000000</v>
      </c>
      <c r="I301" s="1">
        <f>_xlfn.XLOOKUP(Tabla3[[#This Row],[Cliente]],'[1]Datos Contacto'!$A$2:$A$23,'[1]Datos Contacto'!$E$2:$E$23,0,0,1)</f>
        <v>0</v>
      </c>
    </row>
    <row r="302" spans="1:9" x14ac:dyDescent="0.25">
      <c r="A302" s="1">
        <v>1055273769</v>
      </c>
      <c r="B302" s="1" t="s">
        <v>316</v>
      </c>
      <c r="C302" s="1"/>
      <c r="D302" s="21" t="s">
        <v>1225</v>
      </c>
      <c r="E302" s="1" t="s">
        <v>9</v>
      </c>
      <c r="F302" s="1" t="s">
        <v>1226</v>
      </c>
      <c r="G302" s="1" t="s">
        <v>20</v>
      </c>
      <c r="H302" s="9">
        <f>_xlfn.XLOOKUP(Tabla3[[#This Row],[Nit]],Hoja2!A302:A1725,Hoja2!C302:C1725)</f>
        <v>1000000</v>
      </c>
      <c r="I302" s="1">
        <f>_xlfn.XLOOKUP(Tabla3[[#This Row],[Cliente]],'[1]Datos Contacto'!$A$2:$A$23,'[1]Datos Contacto'!$E$2:$E$23,0,0,1)</f>
        <v>0</v>
      </c>
    </row>
    <row r="303" spans="1:9" x14ac:dyDescent="0.25">
      <c r="A303" s="1">
        <v>1095485431</v>
      </c>
      <c r="B303" s="1" t="s">
        <v>317</v>
      </c>
      <c r="C303" s="1"/>
      <c r="D303" s="21" t="s">
        <v>1225</v>
      </c>
      <c r="E303" s="1" t="s">
        <v>9</v>
      </c>
      <c r="F303" s="1" t="s">
        <v>1226</v>
      </c>
      <c r="G303" s="1" t="s">
        <v>11</v>
      </c>
      <c r="H303" s="9">
        <f>_xlfn.XLOOKUP(Tabla3[[#This Row],[Nit]],Hoja2!A303:A1726,Hoja2!C303:C1726)</f>
        <v>1000000</v>
      </c>
      <c r="I303" s="1">
        <f>_xlfn.XLOOKUP(Tabla3[[#This Row],[Cliente]],'[1]Datos Contacto'!$A$2:$A$23,'[1]Datos Contacto'!$E$2:$E$23,0,0,1)</f>
        <v>0</v>
      </c>
    </row>
    <row r="304" spans="1:9" x14ac:dyDescent="0.25">
      <c r="A304" s="1">
        <v>79170013</v>
      </c>
      <c r="B304" s="1" t="s">
        <v>318</v>
      </c>
      <c r="C304" s="1"/>
      <c r="D304" s="21" t="s">
        <v>1225</v>
      </c>
      <c r="E304" s="1" t="s">
        <v>9</v>
      </c>
      <c r="F304" s="1" t="s">
        <v>1226</v>
      </c>
      <c r="G304" s="1" t="s">
        <v>11</v>
      </c>
      <c r="H304" s="9">
        <f>_xlfn.XLOOKUP(Tabla3[[#This Row],[Nit]],Hoja2!A304:A1727,Hoja2!C304:C1727)</f>
        <v>1000000</v>
      </c>
      <c r="I304" s="1">
        <f>_xlfn.XLOOKUP(Tabla3[[#This Row],[Cliente]],'[1]Datos Contacto'!$A$2:$A$23,'[1]Datos Contacto'!$E$2:$E$23,0,0,1)</f>
        <v>0</v>
      </c>
    </row>
    <row r="305" spans="1:9" x14ac:dyDescent="0.25">
      <c r="A305" s="1">
        <v>372</v>
      </c>
      <c r="B305" s="1" t="s">
        <v>319</v>
      </c>
      <c r="C305" s="1"/>
      <c r="D305" s="21" t="s">
        <v>1225</v>
      </c>
      <c r="E305" s="1" t="s">
        <v>9</v>
      </c>
      <c r="F305" s="1" t="s">
        <v>1226</v>
      </c>
      <c r="G305" s="1" t="s">
        <v>11</v>
      </c>
      <c r="H305" s="9">
        <f>_xlfn.XLOOKUP(Tabla3[[#This Row],[Nit]],Hoja2!A305:A1728,Hoja2!C305:C1728)</f>
        <v>1000000</v>
      </c>
      <c r="I305" s="1">
        <f>_xlfn.XLOOKUP(Tabla3[[#This Row],[Cliente]],'[1]Datos Contacto'!$A$2:$A$23,'[1]Datos Contacto'!$E$2:$E$23,0,0,1)</f>
        <v>0</v>
      </c>
    </row>
    <row r="306" spans="1:9" x14ac:dyDescent="0.25">
      <c r="A306" s="1">
        <v>352</v>
      </c>
      <c r="B306" s="1" t="s">
        <v>320</v>
      </c>
      <c r="C306" s="1"/>
      <c r="D306" s="21" t="s">
        <v>1225</v>
      </c>
      <c r="E306" s="1" t="s">
        <v>9</v>
      </c>
      <c r="F306" s="1" t="s">
        <v>1226</v>
      </c>
      <c r="G306" s="1" t="s">
        <v>11</v>
      </c>
      <c r="H306" s="9">
        <f>_xlfn.XLOOKUP(Tabla3[[#This Row],[Nit]],Hoja2!A306:A1729,Hoja2!C306:C1729)</f>
        <v>1000000</v>
      </c>
      <c r="I306" s="1">
        <f>_xlfn.XLOOKUP(Tabla3[[#This Row],[Cliente]],'[1]Datos Contacto'!$A$2:$A$23,'[1]Datos Contacto'!$E$2:$E$23,0,0,1)</f>
        <v>0</v>
      </c>
    </row>
    <row r="307" spans="1:9" x14ac:dyDescent="0.25">
      <c r="A307" s="1">
        <v>80400284</v>
      </c>
      <c r="B307" s="1" t="s">
        <v>321</v>
      </c>
      <c r="C307" s="1"/>
      <c r="D307" s="21" t="s">
        <v>1225</v>
      </c>
      <c r="E307" s="1" t="s">
        <v>9</v>
      </c>
      <c r="F307" s="1" t="s">
        <v>1226</v>
      </c>
      <c r="G307" s="1" t="s">
        <v>11</v>
      </c>
      <c r="H307" s="9">
        <f>_xlfn.XLOOKUP(Tabla3[[#This Row],[Nit]],Hoja2!A307:A1730,Hoja2!C307:C1730)</f>
        <v>2000000</v>
      </c>
      <c r="I307" s="1">
        <f>_xlfn.XLOOKUP(Tabla3[[#This Row],[Cliente]],'[1]Datos Contacto'!$A$2:$A$23,'[1]Datos Contacto'!$E$2:$E$23,0,0,1)</f>
        <v>0</v>
      </c>
    </row>
    <row r="308" spans="1:9" x14ac:dyDescent="0.25">
      <c r="A308" s="1">
        <v>1026251568</v>
      </c>
      <c r="B308" s="1" t="s">
        <v>322</v>
      </c>
      <c r="C308" s="1"/>
      <c r="D308" s="21" t="s">
        <v>1225</v>
      </c>
      <c r="E308" s="1" t="s">
        <v>9</v>
      </c>
      <c r="F308" s="1" t="s">
        <v>1226</v>
      </c>
      <c r="G308" s="1" t="s">
        <v>15</v>
      </c>
      <c r="H308" s="9">
        <f>_xlfn.XLOOKUP(Tabla3[[#This Row],[Nit]],Hoja2!A308:A1731,Hoja2!C308:C1731)</f>
        <v>1000000</v>
      </c>
      <c r="I308" s="1">
        <f>_xlfn.XLOOKUP(Tabla3[[#This Row],[Cliente]],'[1]Datos Contacto'!$A$2:$A$23,'[1]Datos Contacto'!$E$2:$E$23,0,0,1)</f>
        <v>0</v>
      </c>
    </row>
    <row r="309" spans="1:9" x14ac:dyDescent="0.25">
      <c r="A309" s="1">
        <v>46677892</v>
      </c>
      <c r="B309" s="1" t="s">
        <v>323</v>
      </c>
      <c r="C309" s="1"/>
      <c r="D309" s="21" t="s">
        <v>1225</v>
      </c>
      <c r="E309" s="1" t="s">
        <v>9</v>
      </c>
      <c r="F309" s="1" t="s">
        <v>1226</v>
      </c>
      <c r="G309" s="1" t="s">
        <v>7</v>
      </c>
      <c r="H309" s="9">
        <f>_xlfn.XLOOKUP(Tabla3[[#This Row],[Nit]],Hoja2!A309:A1732,Hoja2!C309:C1732)</f>
        <v>1000000</v>
      </c>
      <c r="I309" s="1">
        <f>_xlfn.XLOOKUP(Tabla3[[#This Row],[Cliente]],'[1]Datos Contacto'!$A$2:$A$23,'[1]Datos Contacto'!$E$2:$E$23,0,0,1)</f>
        <v>0</v>
      </c>
    </row>
    <row r="310" spans="1:9" x14ac:dyDescent="0.25">
      <c r="A310" s="1">
        <v>900704771</v>
      </c>
      <c r="B310" s="1" t="s">
        <v>324</v>
      </c>
      <c r="C310" s="1"/>
      <c r="D310" s="21" t="s">
        <v>1225</v>
      </c>
      <c r="E310" s="1" t="s">
        <v>9</v>
      </c>
      <c r="F310" s="1" t="s">
        <v>1226</v>
      </c>
      <c r="G310" s="1" t="s">
        <v>7</v>
      </c>
      <c r="H310" s="9">
        <f>_xlfn.XLOOKUP(Tabla3[[#This Row],[Nit]],Hoja2!A310:A1733,Hoja2!C310:C1733)</f>
        <v>1000000</v>
      </c>
      <c r="I310" s="1">
        <f>_xlfn.XLOOKUP(Tabla3[[#This Row],[Cliente]],'[1]Datos Contacto'!$A$2:$A$23,'[1]Datos Contacto'!$E$2:$E$23,0,0,1)</f>
        <v>0</v>
      </c>
    </row>
    <row r="311" spans="1:9" x14ac:dyDescent="0.25">
      <c r="A311" s="1">
        <v>900132299</v>
      </c>
      <c r="B311" s="1" t="s">
        <v>325</v>
      </c>
      <c r="C311" s="1"/>
      <c r="D311" s="21" t="s">
        <v>1225</v>
      </c>
      <c r="E311" s="1" t="s">
        <v>9</v>
      </c>
      <c r="F311" s="1" t="s">
        <v>1226</v>
      </c>
      <c r="G311" s="1" t="s">
        <v>7</v>
      </c>
      <c r="H311" s="9">
        <f>_xlfn.XLOOKUP(Tabla3[[#This Row],[Nit]],Hoja2!A311:A1734,Hoja2!C311:C1734)</f>
        <v>1000000</v>
      </c>
      <c r="I311" s="1">
        <f>_xlfn.XLOOKUP(Tabla3[[#This Row],[Cliente]],'[1]Datos Contacto'!$A$2:$A$23,'[1]Datos Contacto'!$E$2:$E$23,0,0,1)</f>
        <v>0</v>
      </c>
    </row>
    <row r="312" spans="1:9" x14ac:dyDescent="0.25">
      <c r="A312" s="1">
        <v>805000830</v>
      </c>
      <c r="B312" s="1" t="s">
        <v>326</v>
      </c>
      <c r="C312" s="1"/>
      <c r="D312" s="21" t="s">
        <v>1225</v>
      </c>
      <c r="E312" s="1" t="s">
        <v>9</v>
      </c>
      <c r="F312" s="1" t="s">
        <v>1226</v>
      </c>
      <c r="G312" s="1" t="s">
        <v>11</v>
      </c>
      <c r="H312" s="9">
        <f>_xlfn.XLOOKUP(Tabla3[[#This Row],[Nit]],Hoja2!A312:A1735,Hoja2!C312:C1735)</f>
        <v>1000000</v>
      </c>
      <c r="I312" s="1">
        <f>_xlfn.XLOOKUP(Tabla3[[#This Row],[Cliente]],'[1]Datos Contacto'!$A$2:$A$23,'[1]Datos Contacto'!$E$2:$E$23,0,0,1)</f>
        <v>0</v>
      </c>
    </row>
    <row r="313" spans="1:9" x14ac:dyDescent="0.25">
      <c r="A313" s="1">
        <v>830104746</v>
      </c>
      <c r="B313" s="1" t="s">
        <v>327</v>
      </c>
      <c r="C313" s="1"/>
      <c r="D313" s="21" t="s">
        <v>1225</v>
      </c>
      <c r="E313" s="1" t="s">
        <v>6</v>
      </c>
      <c r="F313" s="1" t="s">
        <v>1226</v>
      </c>
      <c r="G313" s="1" t="s">
        <v>20</v>
      </c>
      <c r="H313" s="9">
        <f>_xlfn.XLOOKUP(Tabla3[[#This Row],[Nit]],Hoja2!A313:A1736,Hoja2!C313:C1736)</f>
        <v>10000000</v>
      </c>
      <c r="I313" s="1">
        <f>_xlfn.XLOOKUP(Tabla3[[#This Row],[Cliente]],'[1]Datos Contacto'!$A$2:$A$23,'[1]Datos Contacto'!$E$2:$E$23,0,0,1)</f>
        <v>0</v>
      </c>
    </row>
    <row r="314" spans="1:9" x14ac:dyDescent="0.25">
      <c r="A314" s="1">
        <v>900231070</v>
      </c>
      <c r="B314" s="1" t="s">
        <v>328</v>
      </c>
      <c r="C314" s="1"/>
      <c r="D314" s="21" t="s">
        <v>1225</v>
      </c>
      <c r="E314" s="1" t="s">
        <v>9</v>
      </c>
      <c r="F314" s="1" t="s">
        <v>1226</v>
      </c>
      <c r="G314" s="1" t="s">
        <v>20</v>
      </c>
      <c r="H314" s="9">
        <f>_xlfn.XLOOKUP(Tabla3[[#This Row],[Nit]],Hoja2!A314:A1737,Hoja2!C314:C1737)</f>
        <v>1000000</v>
      </c>
      <c r="I314" s="1">
        <f>_xlfn.XLOOKUP(Tabla3[[#This Row],[Cliente]],'[1]Datos Contacto'!$A$2:$A$23,'[1]Datos Contacto'!$E$2:$E$23,0,0,1)</f>
        <v>0</v>
      </c>
    </row>
    <row r="315" spans="1:9" x14ac:dyDescent="0.25">
      <c r="A315" s="1">
        <v>901109174</v>
      </c>
      <c r="B315" s="1" t="s">
        <v>329</v>
      </c>
      <c r="C315" s="1"/>
      <c r="D315" s="21" t="s">
        <v>1225</v>
      </c>
      <c r="E315" s="1" t="s">
        <v>9</v>
      </c>
      <c r="F315" s="1" t="s">
        <v>1226</v>
      </c>
      <c r="G315" s="1" t="s">
        <v>7</v>
      </c>
      <c r="H315" s="9">
        <f>_xlfn.XLOOKUP(Tabla3[[#This Row],[Nit]],Hoja2!A315:A1738,Hoja2!C315:C1738)</f>
        <v>1000000</v>
      </c>
      <c r="I315" s="1">
        <f>_xlfn.XLOOKUP(Tabla3[[#This Row],[Cliente]],'[1]Datos Contacto'!$A$2:$A$23,'[1]Datos Contacto'!$E$2:$E$23,0,0,1)</f>
        <v>0</v>
      </c>
    </row>
    <row r="316" spans="1:9" x14ac:dyDescent="0.25">
      <c r="A316" s="1">
        <v>900016521</v>
      </c>
      <c r="B316" s="1" t="s">
        <v>330</v>
      </c>
      <c r="C316" s="1"/>
      <c r="D316" s="21" t="s">
        <v>1225</v>
      </c>
      <c r="E316" s="1" t="s">
        <v>6</v>
      </c>
      <c r="F316" s="1" t="s">
        <v>1226</v>
      </c>
      <c r="G316" s="1" t="s">
        <v>20</v>
      </c>
      <c r="H316" s="9">
        <f>_xlfn.XLOOKUP(Tabla3[[#This Row],[Nit]],Hoja2!A316:A1739,Hoja2!C316:C1739)</f>
        <v>10000000</v>
      </c>
      <c r="I316" s="1">
        <f>_xlfn.XLOOKUP(Tabla3[[#This Row],[Cliente]],'[1]Datos Contacto'!$A$2:$A$23,'[1]Datos Contacto'!$E$2:$E$23,0,0,1)</f>
        <v>0</v>
      </c>
    </row>
    <row r="317" spans="1:9" x14ac:dyDescent="0.25">
      <c r="A317" s="1">
        <v>860006284</v>
      </c>
      <c r="B317" s="1" t="s">
        <v>331</v>
      </c>
      <c r="C317" s="1"/>
      <c r="D317" s="21" t="s">
        <v>1225</v>
      </c>
      <c r="E317" s="1" t="s">
        <v>9</v>
      </c>
      <c r="F317" s="1" t="s">
        <v>1226</v>
      </c>
      <c r="G317" s="1" t="s">
        <v>7</v>
      </c>
      <c r="H317" s="9">
        <f>_xlfn.XLOOKUP(Tabla3[[#This Row],[Nit]],Hoja2!A317:A1740,Hoja2!C317:C1740)</f>
        <v>10000000</v>
      </c>
      <c r="I317" s="1">
        <f>_xlfn.XLOOKUP(Tabla3[[#This Row],[Cliente]],'[1]Datos Contacto'!$A$2:$A$23,'[1]Datos Contacto'!$E$2:$E$23,0,0,1)</f>
        <v>0</v>
      </c>
    </row>
    <row r="318" spans="1:9" x14ac:dyDescent="0.25">
      <c r="A318" s="1">
        <v>830074365</v>
      </c>
      <c r="B318" s="2" t="s">
        <v>332</v>
      </c>
      <c r="C318" s="1"/>
      <c r="D318" s="21" t="s">
        <v>1225</v>
      </c>
      <c r="E318" s="1" t="s">
        <v>79</v>
      </c>
      <c r="F318" s="1" t="s">
        <v>1226</v>
      </c>
      <c r="G318" s="1" t="s">
        <v>7</v>
      </c>
      <c r="H318" s="9">
        <f>_xlfn.XLOOKUP(Tabla3[[#This Row],[Nit]],Hoja2!A318:A1741,Hoja2!C318:C1741)</f>
        <v>10000000</v>
      </c>
      <c r="I318" s="1">
        <f>_xlfn.XLOOKUP(Tabla3[[#This Row],[Cliente]],'[1]Datos Contacto'!$A$2:$A$23,'[1]Datos Contacto'!$E$2:$E$23,0,0,1)</f>
        <v>0</v>
      </c>
    </row>
    <row r="319" spans="1:9" x14ac:dyDescent="0.25">
      <c r="A319" s="1">
        <v>1026306883</v>
      </c>
      <c r="B319" s="1" t="s">
        <v>333</v>
      </c>
      <c r="C319" s="1"/>
      <c r="D319" s="21" t="s">
        <v>1225</v>
      </c>
      <c r="E319" s="1" t="s">
        <v>6</v>
      </c>
      <c r="F319" s="1" t="s">
        <v>1226</v>
      </c>
      <c r="G319" s="1" t="s">
        <v>7</v>
      </c>
      <c r="H319" s="9">
        <f>_xlfn.XLOOKUP(Tabla3[[#This Row],[Nit]],Hoja2!A319:A1742,Hoja2!C319:C1742)</f>
        <v>1000000</v>
      </c>
      <c r="I319" s="1">
        <f>_xlfn.XLOOKUP(Tabla3[[#This Row],[Cliente]],'[1]Datos Contacto'!$A$2:$A$23,'[1]Datos Contacto'!$E$2:$E$23,0,0,1)</f>
        <v>0</v>
      </c>
    </row>
    <row r="320" spans="1:9" x14ac:dyDescent="0.25">
      <c r="A320" s="1">
        <v>901508447</v>
      </c>
      <c r="B320" s="1" t="s">
        <v>334</v>
      </c>
      <c r="C320" s="1"/>
      <c r="D320" s="21" t="s">
        <v>1225</v>
      </c>
      <c r="E320" s="1" t="s">
        <v>9</v>
      </c>
      <c r="F320" s="1" t="s">
        <v>1226</v>
      </c>
      <c r="G320" s="1" t="s">
        <v>15</v>
      </c>
      <c r="H320" s="9">
        <f>_xlfn.XLOOKUP(Tabla3[[#This Row],[Nit]],Hoja2!A320:A1743,Hoja2!C320:C1743)</f>
        <v>1000000</v>
      </c>
      <c r="I320" s="1">
        <f>_xlfn.XLOOKUP(Tabla3[[#This Row],[Cliente]],'[1]Datos Contacto'!$A$2:$A$23,'[1]Datos Contacto'!$E$2:$E$23,0,0,1)</f>
        <v>0</v>
      </c>
    </row>
    <row r="321" spans="1:9" x14ac:dyDescent="0.25">
      <c r="A321" s="1">
        <v>901517643</v>
      </c>
      <c r="B321" s="1" t="s">
        <v>335</v>
      </c>
      <c r="C321" s="1"/>
      <c r="D321" s="21" t="s">
        <v>1225</v>
      </c>
      <c r="E321" s="1" t="s">
        <v>9</v>
      </c>
      <c r="F321" s="1" t="s">
        <v>1226</v>
      </c>
      <c r="G321" s="1" t="s">
        <v>7</v>
      </c>
      <c r="H321" s="9">
        <f>_xlfn.XLOOKUP(Tabla3[[#This Row],[Nit]],Hoja2!A321:A1744,Hoja2!C321:C1744)</f>
        <v>1000000</v>
      </c>
      <c r="I321" s="1">
        <f>_xlfn.XLOOKUP(Tabla3[[#This Row],[Cliente]],'[1]Datos Contacto'!$A$2:$A$23,'[1]Datos Contacto'!$E$2:$E$23,0,0,1)</f>
        <v>0</v>
      </c>
    </row>
    <row r="322" spans="1:9" x14ac:dyDescent="0.25">
      <c r="A322" s="1">
        <v>901403694</v>
      </c>
      <c r="B322" s="1" t="s">
        <v>336</v>
      </c>
      <c r="C322" s="1"/>
      <c r="D322" s="21" t="s">
        <v>1225</v>
      </c>
      <c r="E322" s="1" t="s">
        <v>9</v>
      </c>
      <c r="F322" s="1" t="s">
        <v>1226</v>
      </c>
      <c r="G322" s="1" t="s">
        <v>7</v>
      </c>
      <c r="H322" s="9">
        <f>_xlfn.XLOOKUP(Tabla3[[#This Row],[Nit]],Hoja2!A322:A1745,Hoja2!C322:C1745)</f>
        <v>1000000</v>
      </c>
      <c r="I322" s="1">
        <f>_xlfn.XLOOKUP(Tabla3[[#This Row],[Cliente]],'[1]Datos Contacto'!$A$2:$A$23,'[1]Datos Contacto'!$E$2:$E$23,0,0,1)</f>
        <v>0</v>
      </c>
    </row>
    <row r="323" spans="1:9" x14ac:dyDescent="0.25">
      <c r="A323" s="1">
        <v>830126204</v>
      </c>
      <c r="B323" s="1" t="s">
        <v>337</v>
      </c>
      <c r="C323" s="1"/>
      <c r="D323" s="21" t="s">
        <v>1225</v>
      </c>
      <c r="E323" s="1" t="s">
        <v>6</v>
      </c>
      <c r="F323" s="1" t="s">
        <v>1226</v>
      </c>
      <c r="G323" s="1" t="s">
        <v>7</v>
      </c>
      <c r="H323" s="9">
        <f>_xlfn.XLOOKUP(Tabla3[[#This Row],[Nit]],Hoja2!A323:A1746,Hoja2!C323:C1746)</f>
        <v>120000000</v>
      </c>
      <c r="I323" s="1" t="str">
        <f>_xlfn.XLOOKUP(Tabla3[[#This Row],[Cliente]],'[1]Datos Contacto'!$A$2:$A$23,'[1]Datos Contacto'!$E$2:$E$23,0,0,1)</f>
        <v>fatrecggbog1@gategroup.com</v>
      </c>
    </row>
    <row r="324" spans="1:9" x14ac:dyDescent="0.25">
      <c r="A324" s="1">
        <v>901763412</v>
      </c>
      <c r="B324" s="1" t="s">
        <v>338</v>
      </c>
      <c r="C324" s="1"/>
      <c r="D324" s="21" t="s">
        <v>1225</v>
      </c>
      <c r="E324" s="1" t="s">
        <v>6</v>
      </c>
      <c r="F324" s="1" t="s">
        <v>1226</v>
      </c>
      <c r="G324" s="1" t="s">
        <v>11</v>
      </c>
      <c r="H324" s="9">
        <f>_xlfn.XLOOKUP(Tabla3[[#This Row],[Nit]],Hoja2!A324:A1747,Hoja2!C324:C1747)</f>
        <v>1000000</v>
      </c>
      <c r="I324" s="1">
        <f>_xlfn.XLOOKUP(Tabla3[[#This Row],[Cliente]],'[1]Datos Contacto'!$A$2:$A$23,'[1]Datos Contacto'!$E$2:$E$23,0,0,1)</f>
        <v>0</v>
      </c>
    </row>
    <row r="325" spans="1:9" x14ac:dyDescent="0.25">
      <c r="A325" s="1">
        <v>11437414</v>
      </c>
      <c r="B325" s="1" t="s">
        <v>339</v>
      </c>
      <c r="C325" s="1"/>
      <c r="D325" s="21" t="s">
        <v>1225</v>
      </c>
      <c r="E325" s="1" t="s">
        <v>9</v>
      </c>
      <c r="F325" s="1" t="s">
        <v>1226</v>
      </c>
      <c r="G325" s="1" t="s">
        <v>11</v>
      </c>
      <c r="H325" s="9">
        <f>_xlfn.XLOOKUP(Tabla3[[#This Row],[Nit]],Hoja2!A325:A1748,Hoja2!C325:C1748)</f>
        <v>1000000</v>
      </c>
      <c r="I325" s="1">
        <f>_xlfn.XLOOKUP(Tabla3[[#This Row],[Cliente]],'[1]Datos Contacto'!$A$2:$A$23,'[1]Datos Contacto'!$E$2:$E$23,0,0,1)</f>
        <v>0</v>
      </c>
    </row>
    <row r="326" spans="1:9" x14ac:dyDescent="0.25">
      <c r="A326" s="1">
        <v>7127356</v>
      </c>
      <c r="B326" s="1" t="s">
        <v>340</v>
      </c>
      <c r="C326" s="1"/>
      <c r="D326" s="21" t="s">
        <v>1225</v>
      </c>
      <c r="E326" s="1" t="s">
        <v>9</v>
      </c>
      <c r="F326" s="1" t="s">
        <v>1226</v>
      </c>
      <c r="G326" s="1" t="s">
        <v>7</v>
      </c>
      <c r="H326" s="9">
        <f>_xlfn.XLOOKUP(Tabla3[[#This Row],[Nit]],Hoja2!A326:A1749,Hoja2!C326:C1749)</f>
        <v>1000000</v>
      </c>
      <c r="I326" s="1">
        <f>_xlfn.XLOOKUP(Tabla3[[#This Row],[Cliente]],'[1]Datos Contacto'!$A$2:$A$23,'[1]Datos Contacto'!$E$2:$E$23,0,0,1)</f>
        <v>0</v>
      </c>
    </row>
    <row r="327" spans="1:9" x14ac:dyDescent="0.25">
      <c r="A327" s="1">
        <v>79122561</v>
      </c>
      <c r="B327" s="1" t="s">
        <v>341</v>
      </c>
      <c r="C327" s="1"/>
      <c r="D327" s="21" t="s">
        <v>1225</v>
      </c>
      <c r="E327" s="1" t="s">
        <v>9</v>
      </c>
      <c r="F327" s="1" t="s">
        <v>1226</v>
      </c>
      <c r="G327" s="1" t="s">
        <v>20</v>
      </c>
      <c r="H327" s="9">
        <f>_xlfn.XLOOKUP(Tabla3[[#This Row],[Nit]],Hoja2!A327:A1750,Hoja2!C327:C1750)</f>
        <v>1000000</v>
      </c>
      <c r="I327" s="1">
        <f>_xlfn.XLOOKUP(Tabla3[[#This Row],[Cliente]],'[1]Datos Contacto'!$A$2:$A$23,'[1]Datos Contacto'!$E$2:$E$23,0,0,1)</f>
        <v>0</v>
      </c>
    </row>
    <row r="328" spans="1:9" x14ac:dyDescent="0.25">
      <c r="A328" s="1">
        <v>354</v>
      </c>
      <c r="B328" s="1" t="s">
        <v>342</v>
      </c>
      <c r="C328" s="1"/>
      <c r="D328" s="21" t="s">
        <v>1225</v>
      </c>
      <c r="E328" s="1" t="s">
        <v>9</v>
      </c>
      <c r="F328" s="1" t="s">
        <v>1226</v>
      </c>
      <c r="G328" s="1" t="s">
        <v>7</v>
      </c>
      <c r="H328" s="9">
        <f>_xlfn.XLOOKUP(Tabla3[[#This Row],[Nit]],Hoja2!A328:A1751,Hoja2!C328:C1751)</f>
        <v>1000000</v>
      </c>
      <c r="I328" s="1">
        <f>_xlfn.XLOOKUP(Tabla3[[#This Row],[Cliente]],'[1]Datos Contacto'!$A$2:$A$23,'[1]Datos Contacto'!$E$2:$E$23,0,0,1)</f>
        <v>0</v>
      </c>
    </row>
    <row r="329" spans="1:9" x14ac:dyDescent="0.25">
      <c r="A329" s="1">
        <v>410</v>
      </c>
      <c r="B329" s="1" t="s">
        <v>343</v>
      </c>
      <c r="C329" s="1"/>
      <c r="D329" s="21" t="s">
        <v>1225</v>
      </c>
      <c r="E329" s="1" t="s">
        <v>9</v>
      </c>
      <c r="F329" s="1" t="s">
        <v>1226</v>
      </c>
      <c r="G329" s="1" t="s">
        <v>7</v>
      </c>
      <c r="H329" s="9">
        <f>_xlfn.XLOOKUP(Tabla3[[#This Row],[Nit]],Hoja2!A329:A1752,Hoja2!C329:C1752)</f>
        <v>1000000</v>
      </c>
      <c r="I329" s="1">
        <f>_xlfn.XLOOKUP(Tabla3[[#This Row],[Cliente]],'[1]Datos Contacto'!$A$2:$A$23,'[1]Datos Contacto'!$E$2:$E$23,0,0,1)</f>
        <v>0</v>
      </c>
    </row>
    <row r="330" spans="1:9" x14ac:dyDescent="0.25">
      <c r="A330" s="1">
        <v>154</v>
      </c>
      <c r="B330" s="1" t="s">
        <v>344</v>
      </c>
      <c r="C330" s="1"/>
      <c r="D330" s="21" t="s">
        <v>1225</v>
      </c>
      <c r="E330" s="1" t="s">
        <v>9</v>
      </c>
      <c r="F330" s="1" t="s">
        <v>1226</v>
      </c>
      <c r="G330" s="1" t="s">
        <v>11</v>
      </c>
      <c r="H330" s="9">
        <f>_xlfn.XLOOKUP(Tabla3[[#This Row],[Nit]],Hoja2!A330:A1753,Hoja2!C330:C1753)</f>
        <v>1000000</v>
      </c>
      <c r="I330" s="1">
        <f>_xlfn.XLOOKUP(Tabla3[[#This Row],[Cliente]],'[1]Datos Contacto'!$A$2:$A$23,'[1]Datos Contacto'!$E$2:$E$23,0,0,1)</f>
        <v>0</v>
      </c>
    </row>
    <row r="331" spans="1:9" x14ac:dyDescent="0.25">
      <c r="A331" s="1">
        <v>2873454</v>
      </c>
      <c r="B331" s="1" t="s">
        <v>345</v>
      </c>
      <c r="C331" s="1"/>
      <c r="D331" s="21" t="s">
        <v>1225</v>
      </c>
      <c r="E331" s="1" t="s">
        <v>6</v>
      </c>
      <c r="F331" s="1" t="s">
        <v>1226</v>
      </c>
      <c r="G331" s="1" t="s">
        <v>20</v>
      </c>
      <c r="H331" s="9">
        <f>_xlfn.XLOOKUP(Tabla3[[#This Row],[Nit]],Hoja2!A331:A1754,Hoja2!C331:C1754)</f>
        <v>5000000</v>
      </c>
      <c r="I331" s="1">
        <f>_xlfn.XLOOKUP(Tabla3[[#This Row],[Cliente]],'[1]Datos Contacto'!$A$2:$A$23,'[1]Datos Contacto'!$E$2:$E$23,0,0,1)</f>
        <v>0</v>
      </c>
    </row>
    <row r="332" spans="1:9" x14ac:dyDescent="0.25">
      <c r="A332" s="1">
        <v>367</v>
      </c>
      <c r="B332" s="1" t="s">
        <v>346</v>
      </c>
      <c r="C332" s="1"/>
      <c r="D332" s="21" t="s">
        <v>1225</v>
      </c>
      <c r="E332" s="1" t="s">
        <v>9</v>
      </c>
      <c r="F332" s="1" t="s">
        <v>1226</v>
      </c>
      <c r="G332" s="1" t="s">
        <v>11</v>
      </c>
      <c r="H332" s="9">
        <f>_xlfn.XLOOKUP(Tabla3[[#This Row],[Nit]],Hoja2!A332:A1755,Hoja2!C332:C1755)</f>
        <v>1000000</v>
      </c>
      <c r="I332" s="1">
        <f>_xlfn.XLOOKUP(Tabla3[[#This Row],[Cliente]],'[1]Datos Contacto'!$A$2:$A$23,'[1]Datos Contacto'!$E$2:$E$23,0,0,1)</f>
        <v>0</v>
      </c>
    </row>
    <row r="333" spans="1:9" x14ac:dyDescent="0.25">
      <c r="A333" s="1">
        <v>79459598</v>
      </c>
      <c r="B333" s="1" t="s">
        <v>347</v>
      </c>
      <c r="C333" s="1"/>
      <c r="D333" s="21" t="s">
        <v>1225</v>
      </c>
      <c r="E333" s="1" t="s">
        <v>9</v>
      </c>
      <c r="F333" s="1" t="s">
        <v>1226</v>
      </c>
      <c r="G333" s="1" t="s">
        <v>11</v>
      </c>
      <c r="H333" s="9">
        <f>_xlfn.XLOOKUP(Tabla3[[#This Row],[Nit]],Hoja2!A333:A1756,Hoja2!C333:C1756)</f>
        <v>1000000</v>
      </c>
      <c r="I333" s="1">
        <f>_xlfn.XLOOKUP(Tabla3[[#This Row],[Cliente]],'[1]Datos Contacto'!$A$2:$A$23,'[1]Datos Contacto'!$E$2:$E$23,0,0,1)</f>
        <v>0</v>
      </c>
    </row>
    <row r="334" spans="1:9" x14ac:dyDescent="0.25">
      <c r="A334" s="1">
        <v>321692</v>
      </c>
      <c r="B334" s="1" t="s">
        <v>348</v>
      </c>
      <c r="C334" s="1"/>
      <c r="D334" s="21" t="s">
        <v>1225</v>
      </c>
      <c r="E334" s="1" t="s">
        <v>9</v>
      </c>
      <c r="F334" s="1" t="s">
        <v>1226</v>
      </c>
      <c r="G334" s="1" t="s">
        <v>48</v>
      </c>
      <c r="H334" s="9">
        <f>_xlfn.XLOOKUP(Tabla3[[#This Row],[Nit]],Hoja2!A334:A1757,Hoja2!C334:C1757)</f>
        <v>1000000</v>
      </c>
      <c r="I334" s="1">
        <f>_xlfn.XLOOKUP(Tabla3[[#This Row],[Cliente]],'[1]Datos Contacto'!$A$2:$A$23,'[1]Datos Contacto'!$E$2:$E$23,0,0,1)</f>
        <v>0</v>
      </c>
    </row>
    <row r="335" spans="1:9" x14ac:dyDescent="0.25">
      <c r="A335" s="1">
        <v>52779437</v>
      </c>
      <c r="B335" s="1" t="s">
        <v>349</v>
      </c>
      <c r="C335" s="1"/>
      <c r="D335" s="21" t="s">
        <v>1225</v>
      </c>
      <c r="E335" s="1" t="s">
        <v>9</v>
      </c>
      <c r="F335" s="1" t="s">
        <v>1226</v>
      </c>
      <c r="G335" s="1" t="s">
        <v>15</v>
      </c>
      <c r="H335" s="9">
        <f>_xlfn.XLOOKUP(Tabla3[[#This Row],[Nit]],Hoja2!A335:A1758,Hoja2!C335:C1758)</f>
        <v>1000000</v>
      </c>
      <c r="I335" s="1">
        <f>_xlfn.XLOOKUP(Tabla3[[#This Row],[Cliente]],'[1]Datos Contacto'!$A$2:$A$23,'[1]Datos Contacto'!$E$2:$E$23,0,0,1)</f>
        <v>0</v>
      </c>
    </row>
    <row r="336" spans="1:9" x14ac:dyDescent="0.25">
      <c r="A336" s="1">
        <v>132</v>
      </c>
      <c r="B336" s="1" t="s">
        <v>350</v>
      </c>
      <c r="C336" s="1"/>
      <c r="D336" s="21" t="s">
        <v>1225</v>
      </c>
      <c r="E336" s="1" t="s">
        <v>9</v>
      </c>
      <c r="F336" s="1" t="s">
        <v>1226</v>
      </c>
      <c r="G336" s="1" t="s">
        <v>11</v>
      </c>
      <c r="H336" s="9">
        <f>_xlfn.XLOOKUP(Tabla3[[#This Row],[Nit]],Hoja2!A336:A1759,Hoja2!C336:C1759)</f>
        <v>1000000</v>
      </c>
      <c r="I336" s="1">
        <f>_xlfn.XLOOKUP(Tabla3[[#This Row],[Cliente]],'[1]Datos Contacto'!$A$2:$A$23,'[1]Datos Contacto'!$E$2:$E$23,0,0,1)</f>
        <v>0</v>
      </c>
    </row>
    <row r="337" spans="1:9" x14ac:dyDescent="0.25">
      <c r="A337" s="1">
        <v>53047665</v>
      </c>
      <c r="B337" s="1" t="s">
        <v>351</v>
      </c>
      <c r="C337" s="1"/>
      <c r="D337" s="21" t="s">
        <v>1225</v>
      </c>
      <c r="E337" s="1" t="s">
        <v>9</v>
      </c>
      <c r="F337" s="1" t="s">
        <v>1226</v>
      </c>
      <c r="G337" s="1" t="s">
        <v>7</v>
      </c>
      <c r="H337" s="9">
        <f>_xlfn.XLOOKUP(Tabla3[[#This Row],[Nit]],Hoja2!A337:A1760,Hoja2!C337:C1760)</f>
        <v>1000000</v>
      </c>
      <c r="I337" s="1">
        <f>_xlfn.XLOOKUP(Tabla3[[#This Row],[Cliente]],'[1]Datos Contacto'!$A$2:$A$23,'[1]Datos Contacto'!$E$2:$E$23,0,0,1)</f>
        <v>0</v>
      </c>
    </row>
    <row r="338" spans="1:9" x14ac:dyDescent="0.25">
      <c r="A338" s="1">
        <v>901262347</v>
      </c>
      <c r="B338" s="1" t="s">
        <v>352</v>
      </c>
      <c r="C338" s="1"/>
      <c r="D338" s="21" t="s">
        <v>1225</v>
      </c>
      <c r="E338" s="1" t="s">
        <v>9</v>
      </c>
      <c r="F338" s="1" t="s">
        <v>1226</v>
      </c>
      <c r="G338" s="1" t="s">
        <v>7</v>
      </c>
      <c r="H338" s="9">
        <f>_xlfn.XLOOKUP(Tabla3[[#This Row],[Nit]],Hoja2!A338:A1761,Hoja2!C338:C1761)</f>
        <v>1000000</v>
      </c>
      <c r="I338" s="1">
        <f>_xlfn.XLOOKUP(Tabla3[[#This Row],[Cliente]],'[1]Datos Contacto'!$A$2:$A$23,'[1]Datos Contacto'!$E$2:$E$23,0,0,1)</f>
        <v>0</v>
      </c>
    </row>
    <row r="339" spans="1:9" x14ac:dyDescent="0.25">
      <c r="A339" s="1">
        <v>79280753</v>
      </c>
      <c r="B339" s="1" t="s">
        <v>353</v>
      </c>
      <c r="C339" s="1"/>
      <c r="D339" s="21" t="s">
        <v>1225</v>
      </c>
      <c r="E339" s="1" t="s">
        <v>79</v>
      </c>
      <c r="F339" s="1" t="s">
        <v>1226</v>
      </c>
      <c r="G339" s="1" t="s">
        <v>7</v>
      </c>
      <c r="H339" s="9">
        <f>_xlfn.XLOOKUP(Tabla3[[#This Row],[Nit]],Hoja2!A339:A1762,Hoja2!C339:C1762)</f>
        <v>10000000</v>
      </c>
      <c r="I339" s="1">
        <f>_xlfn.XLOOKUP(Tabla3[[#This Row],[Cliente]],'[1]Datos Contacto'!$A$2:$A$23,'[1]Datos Contacto'!$E$2:$E$23,0,0,1)</f>
        <v>0</v>
      </c>
    </row>
    <row r="340" spans="1:9" x14ac:dyDescent="0.25">
      <c r="A340" s="1">
        <v>900433145</v>
      </c>
      <c r="B340" s="1" t="s">
        <v>354</v>
      </c>
      <c r="C340" s="1"/>
      <c r="D340" s="21" t="s">
        <v>1225</v>
      </c>
      <c r="E340" s="1" t="s">
        <v>9</v>
      </c>
      <c r="F340" s="1" t="s">
        <v>1226</v>
      </c>
      <c r="G340" s="1" t="s">
        <v>7</v>
      </c>
      <c r="H340" s="9">
        <f>_xlfn.XLOOKUP(Tabla3[[#This Row],[Nit]],Hoja2!A340:A1763,Hoja2!C340:C1763)</f>
        <v>10000000</v>
      </c>
      <c r="I340" s="1">
        <f>_xlfn.XLOOKUP(Tabla3[[#This Row],[Cliente]],'[1]Datos Contacto'!$A$2:$A$23,'[1]Datos Contacto'!$E$2:$E$23,0,0,1)</f>
        <v>0</v>
      </c>
    </row>
    <row r="341" spans="1:9" x14ac:dyDescent="0.25">
      <c r="A341" s="1">
        <v>901693726</v>
      </c>
      <c r="B341" s="1" t="s">
        <v>355</v>
      </c>
      <c r="C341" s="1"/>
      <c r="D341" s="21" t="s">
        <v>1225</v>
      </c>
      <c r="E341" s="1" t="s">
        <v>9</v>
      </c>
      <c r="F341" s="1" t="s">
        <v>1226</v>
      </c>
      <c r="G341" s="1" t="s">
        <v>7</v>
      </c>
      <c r="H341" s="9">
        <f>_xlfn.XLOOKUP(Tabla3[[#This Row],[Nit]],Hoja2!A341:A1764,Hoja2!C341:C1764)</f>
        <v>1000000</v>
      </c>
      <c r="I341" s="1">
        <f>_xlfn.XLOOKUP(Tabla3[[#This Row],[Cliente]],'[1]Datos Contacto'!$A$2:$A$23,'[1]Datos Contacto'!$E$2:$E$23,0,0,1)</f>
        <v>0</v>
      </c>
    </row>
    <row r="342" spans="1:9" x14ac:dyDescent="0.25">
      <c r="A342" s="1">
        <v>901433440</v>
      </c>
      <c r="B342" s="1" t="s">
        <v>356</v>
      </c>
      <c r="C342" s="1"/>
      <c r="D342" s="21" t="s">
        <v>1225</v>
      </c>
      <c r="E342" s="1" t="s">
        <v>9</v>
      </c>
      <c r="F342" s="1" t="s">
        <v>1226</v>
      </c>
      <c r="G342" s="1" t="s">
        <v>7</v>
      </c>
      <c r="H342" s="9">
        <f>_xlfn.XLOOKUP(Tabla3[[#This Row],[Nit]],Hoja2!A342:A1765,Hoja2!C342:C1765)</f>
        <v>1000000</v>
      </c>
      <c r="I342" s="1">
        <f>_xlfn.XLOOKUP(Tabla3[[#This Row],[Cliente]],'[1]Datos Contacto'!$A$2:$A$23,'[1]Datos Contacto'!$E$2:$E$23,0,0,1)</f>
        <v>0</v>
      </c>
    </row>
    <row r="343" spans="1:9" x14ac:dyDescent="0.25">
      <c r="A343" s="1">
        <v>830507165</v>
      </c>
      <c r="B343" s="1" t="s">
        <v>357</v>
      </c>
      <c r="C343" s="1"/>
      <c r="D343" s="21" t="s">
        <v>1225</v>
      </c>
      <c r="E343" s="1" t="s">
        <v>9</v>
      </c>
      <c r="F343" s="1" t="s">
        <v>1226</v>
      </c>
      <c r="G343" s="1" t="s">
        <v>7</v>
      </c>
      <c r="H343" s="9">
        <f>_xlfn.XLOOKUP(Tabla3[[#This Row],[Nit]],Hoja2!A343:A1766,Hoja2!C343:C1766)</f>
        <v>3000000</v>
      </c>
      <c r="I343" s="1">
        <f>_xlfn.XLOOKUP(Tabla3[[#This Row],[Cliente]],'[1]Datos Contacto'!$A$2:$A$23,'[1]Datos Contacto'!$E$2:$E$23,0,0,1)</f>
        <v>0</v>
      </c>
    </row>
    <row r="344" spans="1:9" x14ac:dyDescent="0.25">
      <c r="A344" s="1">
        <v>900561233</v>
      </c>
      <c r="B344" s="1" t="s">
        <v>358</v>
      </c>
      <c r="C344" s="1"/>
      <c r="D344" s="21" t="s">
        <v>1225</v>
      </c>
      <c r="E344" s="1" t="s">
        <v>6</v>
      </c>
      <c r="F344" s="1" t="s">
        <v>1226</v>
      </c>
      <c r="G344" s="1" t="s">
        <v>7</v>
      </c>
      <c r="H344" s="9">
        <f>_xlfn.XLOOKUP(Tabla3[[#This Row],[Nit]],Hoja2!A344:A1767,Hoja2!C344:C1767)</f>
        <v>600000000</v>
      </c>
      <c r="I344" s="1" t="str">
        <f>_xlfn.XLOOKUP(Tabla3[[#This Row],[Cliente]],'[1]Datos Contacto'!$A$2:$A$23,'[1]Datos Contacto'!$E$2:$E$23,0,0,1)</f>
        <v>factura.foodgroup@takami.co</v>
      </c>
    </row>
    <row r="345" spans="1:9" x14ac:dyDescent="0.25">
      <c r="A345" s="1">
        <v>901258241</v>
      </c>
      <c r="B345" s="1" t="s">
        <v>359</v>
      </c>
      <c r="C345" s="1"/>
      <c r="D345" s="21" t="s">
        <v>1225</v>
      </c>
      <c r="E345" s="1" t="s">
        <v>6</v>
      </c>
      <c r="F345" s="1" t="s">
        <v>1226</v>
      </c>
      <c r="G345" s="1" t="s">
        <v>11</v>
      </c>
      <c r="H345" s="9">
        <f>_xlfn.XLOOKUP(Tabla3[[#This Row],[Nit]],Hoja2!A345:A1768,Hoja2!C345:C1768)</f>
        <v>1000000</v>
      </c>
      <c r="I345" s="1">
        <f>_xlfn.XLOOKUP(Tabla3[[#This Row],[Cliente]],'[1]Datos Contacto'!$A$2:$A$23,'[1]Datos Contacto'!$E$2:$E$23,0,0,1)</f>
        <v>0</v>
      </c>
    </row>
    <row r="346" spans="1:9" x14ac:dyDescent="0.25">
      <c r="A346" s="1">
        <v>901583800</v>
      </c>
      <c r="B346" s="1" t="s">
        <v>360</v>
      </c>
      <c r="C346" s="1"/>
      <c r="D346" s="21" t="s">
        <v>1225</v>
      </c>
      <c r="E346" s="1" t="s">
        <v>9</v>
      </c>
      <c r="F346" s="1" t="s">
        <v>1226</v>
      </c>
      <c r="G346" s="1" t="s">
        <v>7</v>
      </c>
      <c r="H346" s="9">
        <f>_xlfn.XLOOKUP(Tabla3[[#This Row],[Nit]],Hoja2!A346:A1769,Hoja2!C346:C1769)</f>
        <v>1000000</v>
      </c>
      <c r="I346" s="1">
        <f>_xlfn.XLOOKUP(Tabla3[[#This Row],[Cliente]],'[1]Datos Contacto'!$A$2:$A$23,'[1]Datos Contacto'!$E$2:$E$23,0,0,1)</f>
        <v>0</v>
      </c>
    </row>
    <row r="347" spans="1:9" x14ac:dyDescent="0.25">
      <c r="A347" s="1">
        <v>901392111</v>
      </c>
      <c r="B347" s="1" t="s">
        <v>361</v>
      </c>
      <c r="C347" s="1"/>
      <c r="D347" s="21" t="s">
        <v>1225</v>
      </c>
      <c r="E347" s="1" t="s">
        <v>9</v>
      </c>
      <c r="F347" s="1" t="s">
        <v>1226</v>
      </c>
      <c r="G347" s="1" t="s">
        <v>7</v>
      </c>
      <c r="H347" s="9">
        <f>_xlfn.XLOOKUP(Tabla3[[#This Row],[Nit]],Hoja2!A347:A1770,Hoja2!C347:C1770)</f>
        <v>1000000</v>
      </c>
      <c r="I347" s="1">
        <f>_xlfn.XLOOKUP(Tabla3[[#This Row],[Cliente]],'[1]Datos Contacto'!$A$2:$A$23,'[1]Datos Contacto'!$E$2:$E$23,0,0,1)</f>
        <v>0</v>
      </c>
    </row>
    <row r="348" spans="1:9" x14ac:dyDescent="0.25">
      <c r="A348" s="1">
        <v>800009632</v>
      </c>
      <c r="B348" s="1" t="s">
        <v>362</v>
      </c>
      <c r="C348" s="1"/>
      <c r="D348" s="21" t="s">
        <v>1225</v>
      </c>
      <c r="E348" s="1" t="s">
        <v>9</v>
      </c>
      <c r="F348" s="1" t="s">
        <v>1226</v>
      </c>
      <c r="G348" s="1" t="s">
        <v>48</v>
      </c>
      <c r="H348" s="9">
        <f>_xlfn.XLOOKUP(Tabla3[[#This Row],[Nit]],Hoja2!A348:A1771,Hoja2!C348:C1771)</f>
        <v>1000000</v>
      </c>
      <c r="I348" s="1">
        <f>_xlfn.XLOOKUP(Tabla3[[#This Row],[Cliente]],'[1]Datos Contacto'!$A$2:$A$23,'[1]Datos Contacto'!$E$2:$E$23,0,0,1)</f>
        <v>0</v>
      </c>
    </row>
    <row r="349" spans="1:9" x14ac:dyDescent="0.25">
      <c r="A349" s="1">
        <v>901004464</v>
      </c>
      <c r="B349" s="1" t="s">
        <v>363</v>
      </c>
      <c r="C349" s="1"/>
      <c r="D349" s="21" t="s">
        <v>1225</v>
      </c>
      <c r="E349" s="3" t="s">
        <v>79</v>
      </c>
      <c r="F349" s="1" t="s">
        <v>1226</v>
      </c>
      <c r="G349" s="1" t="s">
        <v>7</v>
      </c>
      <c r="H349" s="9">
        <f>_xlfn.XLOOKUP(Tabla3[[#This Row],[Nit]],Hoja2!A349:A1772,Hoja2!C349:C1772)</f>
        <v>1000000</v>
      </c>
      <c r="I349" s="1">
        <f>_xlfn.XLOOKUP(Tabla3[[#This Row],[Cliente]],'[1]Datos Contacto'!$A$2:$A$23,'[1]Datos Contacto'!$E$2:$E$23,0,0,1)</f>
        <v>0</v>
      </c>
    </row>
    <row r="350" spans="1:9" x14ac:dyDescent="0.25">
      <c r="A350" s="1">
        <v>900939786</v>
      </c>
      <c r="B350" s="1" t="s">
        <v>364</v>
      </c>
      <c r="C350" s="1"/>
      <c r="D350" s="21" t="s">
        <v>1225</v>
      </c>
      <c r="E350" s="1" t="s">
        <v>9</v>
      </c>
      <c r="F350" s="1" t="s">
        <v>1226</v>
      </c>
      <c r="G350" s="1" t="s">
        <v>7</v>
      </c>
      <c r="H350" s="9">
        <f>_xlfn.XLOOKUP(Tabla3[[#This Row],[Nit]],Hoja2!A350:A1773,Hoja2!C350:C1773)</f>
        <v>1000000</v>
      </c>
      <c r="I350" s="1">
        <f>_xlfn.XLOOKUP(Tabla3[[#This Row],[Cliente]],'[1]Datos Contacto'!$A$2:$A$23,'[1]Datos Contacto'!$E$2:$E$23,0,0,1)</f>
        <v>0</v>
      </c>
    </row>
    <row r="351" spans="1:9" x14ac:dyDescent="0.25">
      <c r="A351" s="1">
        <v>901326511</v>
      </c>
      <c r="B351" s="1" t="s">
        <v>365</v>
      </c>
      <c r="C351" s="1"/>
      <c r="D351" s="21" t="s">
        <v>1225</v>
      </c>
      <c r="E351" s="1" t="s">
        <v>9</v>
      </c>
      <c r="F351" s="1" t="s">
        <v>1226</v>
      </c>
      <c r="G351" s="1" t="s">
        <v>7</v>
      </c>
      <c r="H351" s="9">
        <f>_xlfn.XLOOKUP(Tabla3[[#This Row],[Nit]],Hoja2!A351:A1774,Hoja2!C351:C1774)</f>
        <v>2000000</v>
      </c>
      <c r="I351" s="1">
        <f>_xlfn.XLOOKUP(Tabla3[[#This Row],[Cliente]],'[1]Datos Contacto'!$A$2:$A$23,'[1]Datos Contacto'!$E$2:$E$23,0,0,1)</f>
        <v>0</v>
      </c>
    </row>
    <row r="352" spans="1:9" x14ac:dyDescent="0.25">
      <c r="A352" s="1">
        <v>80793995</v>
      </c>
      <c r="B352" s="1" t="s">
        <v>366</v>
      </c>
      <c r="C352" s="1"/>
      <c r="D352" s="21" t="s">
        <v>1225</v>
      </c>
      <c r="E352" s="1" t="s">
        <v>79</v>
      </c>
      <c r="F352" s="1" t="s">
        <v>1226</v>
      </c>
      <c r="G352" s="1" t="s">
        <v>7</v>
      </c>
      <c r="H352" s="9">
        <f>_xlfn.XLOOKUP(Tabla3[[#This Row],[Nit]],Hoja2!A352:A1775,Hoja2!C352:C1775)</f>
        <v>1000000</v>
      </c>
      <c r="I352" s="1">
        <f>_xlfn.XLOOKUP(Tabla3[[#This Row],[Cliente]],'[1]Datos Contacto'!$A$2:$A$23,'[1]Datos Contacto'!$E$2:$E$23,0,0,1)</f>
        <v>0</v>
      </c>
    </row>
    <row r="353" spans="1:9" x14ac:dyDescent="0.25">
      <c r="A353" s="1">
        <v>4179965</v>
      </c>
      <c r="B353" s="1" t="s">
        <v>367</v>
      </c>
      <c r="C353" s="1"/>
      <c r="D353" s="21" t="s">
        <v>1225</v>
      </c>
      <c r="E353" s="1" t="s">
        <v>9</v>
      </c>
      <c r="F353" s="1" t="s">
        <v>1226</v>
      </c>
      <c r="G353" s="1" t="s">
        <v>11</v>
      </c>
      <c r="H353" s="9">
        <f>_xlfn.XLOOKUP(Tabla3[[#This Row],[Nit]],Hoja2!A353:A1776,Hoja2!C353:C1776)</f>
        <v>1000000</v>
      </c>
      <c r="I353" s="1">
        <f>_xlfn.XLOOKUP(Tabla3[[#This Row],[Cliente]],'[1]Datos Contacto'!$A$2:$A$23,'[1]Datos Contacto'!$E$2:$E$23,0,0,1)</f>
        <v>0</v>
      </c>
    </row>
    <row r="354" spans="1:9" x14ac:dyDescent="0.25">
      <c r="A354" s="1">
        <v>130</v>
      </c>
      <c r="B354" s="1" t="s">
        <v>368</v>
      </c>
      <c r="C354" s="1"/>
      <c r="D354" s="21" t="s">
        <v>1225</v>
      </c>
      <c r="E354" s="1" t="s">
        <v>9</v>
      </c>
      <c r="F354" s="1" t="s">
        <v>1226</v>
      </c>
      <c r="G354" s="1" t="s">
        <v>11</v>
      </c>
      <c r="H354" s="9">
        <f>_xlfn.XLOOKUP(Tabla3[[#This Row],[Nit]],Hoja2!A354:A1777,Hoja2!C354:C1777)</f>
        <v>1000000</v>
      </c>
      <c r="I354" s="1">
        <f>_xlfn.XLOOKUP(Tabla3[[#This Row],[Cliente]],'[1]Datos Contacto'!$A$2:$A$23,'[1]Datos Contacto'!$E$2:$E$23,0,0,1)</f>
        <v>0</v>
      </c>
    </row>
    <row r="355" spans="1:9" x14ac:dyDescent="0.25">
      <c r="A355" s="1">
        <v>17388752</v>
      </c>
      <c r="B355" s="1" t="s">
        <v>369</v>
      </c>
      <c r="C355" s="1"/>
      <c r="D355" s="21" t="s">
        <v>1225</v>
      </c>
      <c r="E355" s="1" t="s">
        <v>9</v>
      </c>
      <c r="F355" s="1" t="s">
        <v>1226</v>
      </c>
      <c r="G355" s="1" t="s">
        <v>11</v>
      </c>
      <c r="H355" s="9">
        <f>_xlfn.XLOOKUP(Tabla3[[#This Row],[Nit]],Hoja2!A355:A1778,Hoja2!C355:C1778)</f>
        <v>1000000</v>
      </c>
      <c r="I355" s="1">
        <f>_xlfn.XLOOKUP(Tabla3[[#This Row],[Cliente]],'[1]Datos Contacto'!$A$2:$A$23,'[1]Datos Contacto'!$E$2:$E$23,0,0,1)</f>
        <v>0</v>
      </c>
    </row>
    <row r="356" spans="1:9" x14ac:dyDescent="0.25">
      <c r="A356" s="1">
        <v>223</v>
      </c>
      <c r="B356" s="1" t="s">
        <v>370</v>
      </c>
      <c r="C356" s="1"/>
      <c r="D356" s="21" t="s">
        <v>1225</v>
      </c>
      <c r="E356" s="1" t="s">
        <v>9</v>
      </c>
      <c r="F356" s="1" t="s">
        <v>1226</v>
      </c>
      <c r="G356" s="1" t="s">
        <v>7</v>
      </c>
      <c r="H356" s="9">
        <f>_xlfn.XLOOKUP(Tabla3[[#This Row],[Nit]],Hoja2!A356:A1779,Hoja2!C356:C1779)</f>
        <v>1000000</v>
      </c>
      <c r="I356" s="1">
        <f>_xlfn.XLOOKUP(Tabla3[[#This Row],[Cliente]],'[1]Datos Contacto'!$A$2:$A$23,'[1]Datos Contacto'!$E$2:$E$23,0,0,1)</f>
        <v>0</v>
      </c>
    </row>
    <row r="357" spans="1:9" x14ac:dyDescent="0.25">
      <c r="A357" s="1">
        <v>421</v>
      </c>
      <c r="B357" s="1" t="s">
        <v>371</v>
      </c>
      <c r="C357" s="1"/>
      <c r="D357" s="21" t="s">
        <v>1225</v>
      </c>
      <c r="E357" s="1" t="s">
        <v>9</v>
      </c>
      <c r="F357" s="1" t="s">
        <v>1226</v>
      </c>
      <c r="G357" s="1" t="s">
        <v>11</v>
      </c>
      <c r="H357" s="9">
        <f>_xlfn.XLOOKUP(Tabla3[[#This Row],[Nit]],Hoja2!A357:A1780,Hoja2!C357:C1780)</f>
        <v>1000000</v>
      </c>
      <c r="I357" s="1">
        <f>_xlfn.XLOOKUP(Tabla3[[#This Row],[Cliente]],'[1]Datos Contacto'!$A$2:$A$23,'[1]Datos Contacto'!$E$2:$E$23,0,0,1)</f>
        <v>0</v>
      </c>
    </row>
    <row r="358" spans="1:9" x14ac:dyDescent="0.25">
      <c r="A358" s="1">
        <v>860015937</v>
      </c>
      <c r="B358" s="1" t="s">
        <v>372</v>
      </c>
      <c r="C358" s="1"/>
      <c r="D358" s="21" t="s">
        <v>1225</v>
      </c>
      <c r="E358" s="1" t="s">
        <v>9</v>
      </c>
      <c r="F358" s="1" t="s">
        <v>1226</v>
      </c>
      <c r="G358" s="1" t="s">
        <v>11</v>
      </c>
      <c r="H358" s="9">
        <f>_xlfn.XLOOKUP(Tabla3[[#This Row],[Nit]],Hoja2!A358:A1781,Hoja2!C358:C1781)</f>
        <v>1000000</v>
      </c>
      <c r="I358" s="1">
        <f>_xlfn.XLOOKUP(Tabla3[[#This Row],[Cliente]],'[1]Datos Contacto'!$A$2:$A$23,'[1]Datos Contacto'!$E$2:$E$23,0,0,1)</f>
        <v>0</v>
      </c>
    </row>
    <row r="359" spans="1:9" x14ac:dyDescent="0.25">
      <c r="A359" s="1">
        <v>830048419</v>
      </c>
      <c r="B359" s="1" t="s">
        <v>373</v>
      </c>
      <c r="C359" s="1"/>
      <c r="D359" s="21" t="s">
        <v>1225</v>
      </c>
      <c r="E359" s="1" t="s">
        <v>9</v>
      </c>
      <c r="F359" s="1" t="s">
        <v>1226</v>
      </c>
      <c r="G359" s="1" t="s">
        <v>20</v>
      </c>
      <c r="H359" s="9">
        <f>_xlfn.XLOOKUP(Tabla3[[#This Row],[Nit]],Hoja2!A359:A1782,Hoja2!C359:C1782)</f>
        <v>1000000</v>
      </c>
      <c r="I359" s="1">
        <f>_xlfn.XLOOKUP(Tabla3[[#This Row],[Cliente]],'[1]Datos Contacto'!$A$2:$A$23,'[1]Datos Contacto'!$E$2:$E$23,0,0,1)</f>
        <v>0</v>
      </c>
    </row>
    <row r="360" spans="1:9" x14ac:dyDescent="0.25">
      <c r="A360" s="1">
        <v>900162758</v>
      </c>
      <c r="B360" s="1" t="s">
        <v>374</v>
      </c>
      <c r="C360" s="1"/>
      <c r="D360" s="21" t="s">
        <v>1225</v>
      </c>
      <c r="E360" s="1" t="s">
        <v>9</v>
      </c>
      <c r="F360" s="1" t="s">
        <v>1226</v>
      </c>
      <c r="G360" s="1" t="s">
        <v>20</v>
      </c>
      <c r="H360" s="9">
        <f>_xlfn.XLOOKUP(Tabla3[[#This Row],[Nit]],Hoja2!A360:A1783,Hoja2!C360:C1783)</f>
        <v>1000000</v>
      </c>
      <c r="I360" s="1">
        <f>_xlfn.XLOOKUP(Tabla3[[#This Row],[Cliente]],'[1]Datos Contacto'!$A$2:$A$23,'[1]Datos Contacto'!$E$2:$E$23,0,0,1)</f>
        <v>0</v>
      </c>
    </row>
    <row r="361" spans="1:9" x14ac:dyDescent="0.25">
      <c r="A361" s="1">
        <v>128</v>
      </c>
      <c r="B361" s="1" t="s">
        <v>375</v>
      </c>
      <c r="C361" s="1"/>
      <c r="D361" s="21" t="s">
        <v>1225</v>
      </c>
      <c r="E361" s="1" t="s">
        <v>9</v>
      </c>
      <c r="F361" s="1" t="s">
        <v>1226</v>
      </c>
      <c r="G361" s="1" t="s">
        <v>11</v>
      </c>
      <c r="H361" s="9">
        <f>_xlfn.XLOOKUP(Tabla3[[#This Row],[Nit]],Hoja2!A361:A1784,Hoja2!C361:C1784)</f>
        <v>1000000</v>
      </c>
      <c r="I361" s="1">
        <f>_xlfn.XLOOKUP(Tabla3[[#This Row],[Cliente]],'[1]Datos Contacto'!$A$2:$A$23,'[1]Datos Contacto'!$E$2:$E$23,0,0,1)</f>
        <v>0</v>
      </c>
    </row>
    <row r="362" spans="1:9" x14ac:dyDescent="0.25">
      <c r="A362" s="1">
        <v>425</v>
      </c>
      <c r="B362" s="1" t="s">
        <v>376</v>
      </c>
      <c r="C362" s="1"/>
      <c r="D362" s="21" t="s">
        <v>1225</v>
      </c>
      <c r="E362" s="1" t="s">
        <v>9</v>
      </c>
      <c r="F362" s="1" t="s">
        <v>1226</v>
      </c>
      <c r="G362" s="1" t="s">
        <v>7</v>
      </c>
      <c r="H362" s="9">
        <f>_xlfn.XLOOKUP(Tabla3[[#This Row],[Nit]],Hoja2!A362:A1785,Hoja2!C362:C1785)</f>
        <v>1000000</v>
      </c>
      <c r="I362" s="1">
        <f>_xlfn.XLOOKUP(Tabla3[[#This Row],[Cliente]],'[1]Datos Contacto'!$A$2:$A$23,'[1]Datos Contacto'!$E$2:$E$23,0,0,1)</f>
        <v>0</v>
      </c>
    </row>
    <row r="363" spans="1:9" x14ac:dyDescent="0.25">
      <c r="A363" s="1">
        <v>901108225</v>
      </c>
      <c r="B363" s="1" t="s">
        <v>377</v>
      </c>
      <c r="C363" s="1"/>
      <c r="D363" s="21" t="s">
        <v>1225</v>
      </c>
      <c r="E363" s="1" t="s">
        <v>9</v>
      </c>
      <c r="F363" s="1" t="s">
        <v>1226</v>
      </c>
      <c r="G363" s="1" t="s">
        <v>7</v>
      </c>
      <c r="H363" s="9">
        <f>_xlfn.XLOOKUP(Tabla3[[#This Row],[Nit]],Hoja2!A363:A1786,Hoja2!C363:C1786)</f>
        <v>1000000</v>
      </c>
      <c r="I363" s="1">
        <f>_xlfn.XLOOKUP(Tabla3[[#This Row],[Cliente]],'[1]Datos Contacto'!$A$2:$A$23,'[1]Datos Contacto'!$E$2:$E$23,0,0,1)</f>
        <v>0</v>
      </c>
    </row>
    <row r="364" spans="1:9" x14ac:dyDescent="0.25">
      <c r="A364" s="1">
        <v>901195189</v>
      </c>
      <c r="B364" s="1" t="s">
        <v>378</v>
      </c>
      <c r="C364" s="1"/>
      <c r="D364" s="21" t="s">
        <v>1225</v>
      </c>
      <c r="E364" s="1" t="s">
        <v>9</v>
      </c>
      <c r="F364" s="1" t="s">
        <v>1226</v>
      </c>
      <c r="G364" s="1" t="s">
        <v>11</v>
      </c>
      <c r="H364" s="9">
        <f>_xlfn.XLOOKUP(Tabla3[[#This Row],[Nit]],Hoja2!A364:A1787,Hoja2!C364:C1787)</f>
        <v>1000000</v>
      </c>
      <c r="I364" s="1">
        <f>_xlfn.XLOOKUP(Tabla3[[#This Row],[Cliente]],'[1]Datos Contacto'!$A$2:$A$23,'[1]Datos Contacto'!$E$2:$E$23,0,0,1)</f>
        <v>0</v>
      </c>
    </row>
    <row r="365" spans="1:9" x14ac:dyDescent="0.25">
      <c r="A365" s="1">
        <v>901037772</v>
      </c>
      <c r="B365" s="1" t="s">
        <v>379</v>
      </c>
      <c r="C365" s="1"/>
      <c r="D365" s="21" t="s">
        <v>1225</v>
      </c>
      <c r="E365" s="1" t="s">
        <v>9</v>
      </c>
      <c r="F365" s="1" t="s">
        <v>1226</v>
      </c>
      <c r="G365" s="1" t="s">
        <v>20</v>
      </c>
      <c r="H365" s="9">
        <f>_xlfn.XLOOKUP(Tabla3[[#This Row],[Nit]],Hoja2!A365:A1788,Hoja2!C365:C1788)</f>
        <v>1000000</v>
      </c>
      <c r="I365" s="1">
        <f>_xlfn.XLOOKUP(Tabla3[[#This Row],[Cliente]],'[1]Datos Contacto'!$A$2:$A$23,'[1]Datos Contacto'!$E$2:$E$23,0,0,1)</f>
        <v>0</v>
      </c>
    </row>
    <row r="366" spans="1:9" x14ac:dyDescent="0.25">
      <c r="A366" s="1">
        <v>800058242</v>
      </c>
      <c r="B366" s="1" t="s">
        <v>380</v>
      </c>
      <c r="C366" s="1"/>
      <c r="D366" s="21" t="s">
        <v>1225</v>
      </c>
      <c r="E366" s="1" t="s">
        <v>9</v>
      </c>
      <c r="F366" s="1" t="s">
        <v>1226</v>
      </c>
      <c r="G366" s="1" t="s">
        <v>11</v>
      </c>
      <c r="H366" s="9">
        <f>_xlfn.XLOOKUP(Tabla3[[#This Row],[Nit]],Hoja2!A366:A1789,Hoja2!C366:C1789)</f>
        <v>50000000</v>
      </c>
      <c r="I366" s="1" t="str">
        <f>_xlfn.XLOOKUP(Tabla3[[#This Row],[Cliente]],'[1]Datos Contacto'!$A$2:$A$23,'[1]Datos Contacto'!$E$2:$E$23,0,0,1)</f>
        <v>fep@inducolcarnes.com</v>
      </c>
    </row>
    <row r="367" spans="1:9" x14ac:dyDescent="0.25">
      <c r="A367" s="1">
        <v>901176653</v>
      </c>
      <c r="B367" s="1" t="s">
        <v>381</v>
      </c>
      <c r="C367" s="1"/>
      <c r="D367" s="21" t="s">
        <v>1225</v>
      </c>
      <c r="E367" s="1" t="s">
        <v>9</v>
      </c>
      <c r="F367" s="1" t="s">
        <v>1226</v>
      </c>
      <c r="G367" s="1" t="s">
        <v>11</v>
      </c>
      <c r="H367" s="9">
        <f>_xlfn.XLOOKUP(Tabla3[[#This Row],[Nit]],Hoja2!A367:A1790,Hoja2!C367:C1790)</f>
        <v>3000000</v>
      </c>
      <c r="I367" s="1">
        <f>_xlfn.XLOOKUP(Tabla3[[#This Row],[Cliente]],'[1]Datos Contacto'!$A$2:$A$23,'[1]Datos Contacto'!$E$2:$E$23,0,0,1)</f>
        <v>0</v>
      </c>
    </row>
    <row r="368" spans="1:9" x14ac:dyDescent="0.25">
      <c r="A368" s="1">
        <v>800059631</v>
      </c>
      <c r="B368" s="1" t="s">
        <v>382</v>
      </c>
      <c r="C368" s="1"/>
      <c r="D368" s="21" t="s">
        <v>1225</v>
      </c>
      <c r="E368" s="1" t="s">
        <v>6</v>
      </c>
      <c r="F368" s="1" t="s">
        <v>1226</v>
      </c>
      <c r="G368" s="1" t="s">
        <v>20</v>
      </c>
      <c r="H368" s="9">
        <f>_xlfn.XLOOKUP(Tabla3[[#This Row],[Nit]],Hoja2!A368:A1791,Hoja2!C368:C1791)</f>
        <v>5000000</v>
      </c>
      <c r="I368" s="1">
        <f>_xlfn.XLOOKUP(Tabla3[[#This Row],[Cliente]],'[1]Datos Contacto'!$A$2:$A$23,'[1]Datos Contacto'!$E$2:$E$23,0,0,1)</f>
        <v>0</v>
      </c>
    </row>
    <row r="369" spans="1:9" x14ac:dyDescent="0.25">
      <c r="A369" s="1">
        <v>900072852</v>
      </c>
      <c r="B369" s="1" t="s">
        <v>383</v>
      </c>
      <c r="C369" s="1"/>
      <c r="D369" s="21" t="s">
        <v>1225</v>
      </c>
      <c r="E369" s="1" t="s">
        <v>9</v>
      </c>
      <c r="F369" s="1" t="s">
        <v>1226</v>
      </c>
      <c r="G369" s="1" t="s">
        <v>48</v>
      </c>
      <c r="H369" s="9">
        <f>_xlfn.XLOOKUP(Tabla3[[#This Row],[Nit]],Hoja2!A369:A1792,Hoja2!C369:C1792)</f>
        <v>1000000</v>
      </c>
      <c r="I369" s="1">
        <f>_xlfn.XLOOKUP(Tabla3[[#This Row],[Cliente]],'[1]Datos Contacto'!$A$2:$A$23,'[1]Datos Contacto'!$E$2:$E$23,0,0,1)</f>
        <v>0</v>
      </c>
    </row>
    <row r="370" spans="1:9" x14ac:dyDescent="0.25">
      <c r="A370" s="1">
        <v>900957216</v>
      </c>
      <c r="B370" s="1" t="s">
        <v>384</v>
      </c>
      <c r="C370" s="1"/>
      <c r="D370" s="21" t="s">
        <v>1225</v>
      </c>
      <c r="E370" s="1" t="s">
        <v>6</v>
      </c>
      <c r="F370" s="1" t="s">
        <v>1226</v>
      </c>
      <c r="G370" s="1" t="s">
        <v>7</v>
      </c>
      <c r="H370" s="9">
        <f>_xlfn.XLOOKUP(Tabla3[[#This Row],[Nit]],Hoja2!A370:A1793,Hoja2!C370:C1793)</f>
        <v>10000000</v>
      </c>
      <c r="I370" s="1">
        <f>_xlfn.XLOOKUP(Tabla3[[#This Row],[Cliente]],'[1]Datos Contacto'!$A$2:$A$23,'[1]Datos Contacto'!$E$2:$E$23,0,0,1)</f>
        <v>0</v>
      </c>
    </row>
    <row r="371" spans="1:9" x14ac:dyDescent="0.25">
      <c r="A371" s="1">
        <v>900140285</v>
      </c>
      <c r="B371" s="1" t="s">
        <v>385</v>
      </c>
      <c r="C371" s="1"/>
      <c r="D371" s="21" t="s">
        <v>1225</v>
      </c>
      <c r="E371" s="1" t="s">
        <v>9</v>
      </c>
      <c r="F371" s="1" t="s">
        <v>1226</v>
      </c>
      <c r="G371" s="1" t="s">
        <v>11</v>
      </c>
      <c r="H371" s="9">
        <f>_xlfn.XLOOKUP(Tabla3[[#This Row],[Nit]],Hoja2!A371:A1794,Hoja2!C371:C1794)</f>
        <v>1000000</v>
      </c>
      <c r="I371" s="1">
        <f>_xlfn.XLOOKUP(Tabla3[[#This Row],[Cliente]],'[1]Datos Contacto'!$A$2:$A$23,'[1]Datos Contacto'!$E$2:$E$23,0,0,1)</f>
        <v>0</v>
      </c>
    </row>
    <row r="372" spans="1:9" x14ac:dyDescent="0.25">
      <c r="A372" s="1">
        <v>901514886</v>
      </c>
      <c r="B372" s="1" t="s">
        <v>386</v>
      </c>
      <c r="C372" s="1"/>
      <c r="D372" s="21" t="s">
        <v>1225</v>
      </c>
      <c r="E372" s="1" t="s">
        <v>9</v>
      </c>
      <c r="F372" s="1" t="s">
        <v>1226</v>
      </c>
      <c r="G372" s="1" t="s">
        <v>11</v>
      </c>
      <c r="H372" s="9">
        <f>_xlfn.XLOOKUP(Tabla3[[#This Row],[Nit]],Hoja2!A372:A1795,Hoja2!C372:C1795)</f>
        <v>1000000</v>
      </c>
      <c r="I372" s="1">
        <f>_xlfn.XLOOKUP(Tabla3[[#This Row],[Cliente]],'[1]Datos Contacto'!$A$2:$A$23,'[1]Datos Contacto'!$E$2:$E$23,0,0,1)</f>
        <v>0</v>
      </c>
    </row>
    <row r="373" spans="1:9" x14ac:dyDescent="0.25">
      <c r="A373" s="1">
        <v>901060411</v>
      </c>
      <c r="B373" s="1" t="s">
        <v>387</v>
      </c>
      <c r="C373" s="1"/>
      <c r="D373" s="21" t="s">
        <v>1225</v>
      </c>
      <c r="E373" s="1" t="s">
        <v>79</v>
      </c>
      <c r="F373" s="1" t="s">
        <v>1226</v>
      </c>
      <c r="G373" s="1" t="s">
        <v>11</v>
      </c>
      <c r="H373" s="9">
        <f>_xlfn.XLOOKUP(Tabla3[[#This Row],[Nit]],Hoja2!A373:A1796,Hoja2!C373:C1796)</f>
        <v>1000000</v>
      </c>
      <c r="I373" s="1">
        <f>_xlfn.XLOOKUP(Tabla3[[#This Row],[Cliente]],'[1]Datos Contacto'!$A$2:$A$23,'[1]Datos Contacto'!$E$2:$E$23,0,0,1)</f>
        <v>0</v>
      </c>
    </row>
    <row r="374" spans="1:9" x14ac:dyDescent="0.25">
      <c r="A374" s="1">
        <v>901399676</v>
      </c>
      <c r="B374" s="1" t="s">
        <v>388</v>
      </c>
      <c r="C374" s="1"/>
      <c r="D374" s="21" t="s">
        <v>1225</v>
      </c>
      <c r="E374" s="1" t="s">
        <v>9</v>
      </c>
      <c r="F374" s="1" t="s">
        <v>1226</v>
      </c>
      <c r="G374" s="1" t="s">
        <v>15</v>
      </c>
      <c r="H374" s="9">
        <f>_xlfn.XLOOKUP(Tabla3[[#This Row],[Nit]],Hoja2!A374:A1797,Hoja2!C374:C1797)</f>
        <v>20000000</v>
      </c>
      <c r="I374" s="1">
        <f>_xlfn.XLOOKUP(Tabla3[[#This Row],[Cliente]],'[1]Datos Contacto'!$A$2:$A$23,'[1]Datos Contacto'!$E$2:$E$23,0,0,1)</f>
        <v>0</v>
      </c>
    </row>
    <row r="375" spans="1:9" x14ac:dyDescent="0.25">
      <c r="A375" s="1">
        <v>901521921</v>
      </c>
      <c r="B375" s="1" t="s">
        <v>389</v>
      </c>
      <c r="C375" s="1"/>
      <c r="D375" s="21" t="s">
        <v>1225</v>
      </c>
      <c r="E375" s="1" t="s">
        <v>9</v>
      </c>
      <c r="F375" s="1" t="s">
        <v>1226</v>
      </c>
      <c r="G375" s="1" t="s">
        <v>11</v>
      </c>
      <c r="H375" s="9">
        <f>_xlfn.XLOOKUP(Tabla3[[#This Row],[Nit]],Hoja2!A375:A1798,Hoja2!C375:C1798)</f>
        <v>13000000</v>
      </c>
      <c r="I375" s="1">
        <f>_xlfn.XLOOKUP(Tabla3[[#This Row],[Cliente]],'[1]Datos Contacto'!$A$2:$A$23,'[1]Datos Contacto'!$E$2:$E$23,0,0,1)</f>
        <v>0</v>
      </c>
    </row>
    <row r="376" spans="1:9" x14ac:dyDescent="0.25">
      <c r="A376" s="1">
        <v>901633939</v>
      </c>
      <c r="B376" s="1" t="s">
        <v>390</v>
      </c>
      <c r="C376" s="1"/>
      <c r="D376" s="21" t="s">
        <v>1225</v>
      </c>
      <c r="E376" s="1" t="s">
        <v>9</v>
      </c>
      <c r="F376" s="1" t="s">
        <v>1226</v>
      </c>
      <c r="G376" s="1" t="s">
        <v>11</v>
      </c>
      <c r="H376" s="9">
        <f>_xlfn.XLOOKUP(Tabla3[[#This Row],[Nit]],Hoja2!A376:A1799,Hoja2!C376:C1799)</f>
        <v>1000000</v>
      </c>
      <c r="I376" s="1">
        <f>_xlfn.XLOOKUP(Tabla3[[#This Row],[Cliente]],'[1]Datos Contacto'!$A$2:$A$23,'[1]Datos Contacto'!$E$2:$E$23,0,0,1)</f>
        <v>0</v>
      </c>
    </row>
    <row r="377" spans="1:9" x14ac:dyDescent="0.25">
      <c r="A377" s="1">
        <v>900214079</v>
      </c>
      <c r="B377" s="1" t="s">
        <v>391</v>
      </c>
      <c r="C377" s="1"/>
      <c r="D377" s="21" t="s">
        <v>1225</v>
      </c>
      <c r="E377" s="1" t="s">
        <v>9</v>
      </c>
      <c r="F377" s="1" t="s">
        <v>1226</v>
      </c>
      <c r="G377" s="1" t="s">
        <v>15</v>
      </c>
      <c r="H377" s="9">
        <f>_xlfn.XLOOKUP(Tabla3[[#This Row],[Nit]],Hoja2!A377:A1800,Hoja2!C377:C1800)</f>
        <v>1000000</v>
      </c>
      <c r="I377" s="1">
        <f>_xlfn.XLOOKUP(Tabla3[[#This Row],[Cliente]],'[1]Datos Contacto'!$A$2:$A$23,'[1]Datos Contacto'!$E$2:$E$23,0,0,1)</f>
        <v>0</v>
      </c>
    </row>
    <row r="378" spans="1:9" x14ac:dyDescent="0.25">
      <c r="A378" s="1">
        <v>800038270</v>
      </c>
      <c r="B378" s="1" t="s">
        <v>392</v>
      </c>
      <c r="C378" s="1"/>
      <c r="D378" s="21" t="s">
        <v>1225</v>
      </c>
      <c r="E378" s="1" t="s">
        <v>9</v>
      </c>
      <c r="F378" s="1" t="s">
        <v>1226</v>
      </c>
      <c r="G378" s="1" t="s">
        <v>7</v>
      </c>
      <c r="H378" s="9">
        <f>_xlfn.XLOOKUP(Tabla3[[#This Row],[Nit]],Hoja2!A378:A1801,Hoja2!C378:C1801)</f>
        <v>1000000</v>
      </c>
      <c r="I378" s="1">
        <f>_xlfn.XLOOKUP(Tabla3[[#This Row],[Cliente]],'[1]Datos Contacto'!$A$2:$A$23,'[1]Datos Contacto'!$E$2:$E$23,0,0,1)</f>
        <v>0</v>
      </c>
    </row>
    <row r="379" spans="1:9" x14ac:dyDescent="0.25">
      <c r="A379" s="1">
        <v>900130706</v>
      </c>
      <c r="B379" s="1" t="s">
        <v>393</v>
      </c>
      <c r="C379" s="1"/>
      <c r="D379" s="21" t="s">
        <v>1225</v>
      </c>
      <c r="E379" s="1" t="s">
        <v>9</v>
      </c>
      <c r="F379" s="1" t="s">
        <v>1226</v>
      </c>
      <c r="G379" s="1" t="s">
        <v>7</v>
      </c>
      <c r="H379" s="9">
        <f>_xlfn.XLOOKUP(Tabla3[[#This Row],[Nit]],Hoja2!A379:A1802,Hoja2!C379:C1802)</f>
        <v>1000000</v>
      </c>
      <c r="I379" s="1">
        <f>_xlfn.XLOOKUP(Tabla3[[#This Row],[Cliente]],'[1]Datos Contacto'!$A$2:$A$23,'[1]Datos Contacto'!$E$2:$E$23,0,0,1)</f>
        <v>0</v>
      </c>
    </row>
    <row r="380" spans="1:9" x14ac:dyDescent="0.25">
      <c r="A380" s="1">
        <v>900933984</v>
      </c>
      <c r="B380" s="1" t="s">
        <v>394</v>
      </c>
      <c r="C380" s="1"/>
      <c r="D380" s="21" t="s">
        <v>1225</v>
      </c>
      <c r="E380" s="1" t="s">
        <v>9</v>
      </c>
      <c r="F380" s="1" t="s">
        <v>1226</v>
      </c>
      <c r="G380" s="1" t="s">
        <v>7</v>
      </c>
      <c r="H380" s="9">
        <f>_xlfn.XLOOKUP(Tabla3[[#This Row],[Nit]],Hoja2!A380:A1803,Hoja2!C380:C1803)</f>
        <v>1000000</v>
      </c>
      <c r="I380" s="1">
        <f>_xlfn.XLOOKUP(Tabla3[[#This Row],[Cliente]],'[1]Datos Contacto'!$A$2:$A$23,'[1]Datos Contacto'!$E$2:$E$23,0,0,1)</f>
        <v>0</v>
      </c>
    </row>
    <row r="381" spans="1:9" x14ac:dyDescent="0.25">
      <c r="A381" s="1">
        <v>901494655</v>
      </c>
      <c r="B381" s="1" t="s">
        <v>395</v>
      </c>
      <c r="C381" s="1"/>
      <c r="D381" s="21" t="s">
        <v>1225</v>
      </c>
      <c r="E381" s="1" t="s">
        <v>9</v>
      </c>
      <c r="F381" s="1" t="s">
        <v>1226</v>
      </c>
      <c r="G381" s="1" t="s">
        <v>7</v>
      </c>
      <c r="H381" s="9">
        <f>_xlfn.XLOOKUP(Tabla3[[#This Row],[Nit]],Hoja2!A381:A1804,Hoja2!C381:C1804)</f>
        <v>1000000</v>
      </c>
      <c r="I381" s="1">
        <f>_xlfn.XLOOKUP(Tabla3[[#This Row],[Cliente]],'[1]Datos Contacto'!$A$2:$A$23,'[1]Datos Contacto'!$E$2:$E$23,0,0,1)</f>
        <v>0</v>
      </c>
    </row>
    <row r="382" spans="1:9" x14ac:dyDescent="0.25">
      <c r="A382" s="1">
        <v>830115239</v>
      </c>
      <c r="B382" s="1" t="s">
        <v>396</v>
      </c>
      <c r="C382" s="1" t="s">
        <v>397</v>
      </c>
      <c r="D382" s="21" t="s">
        <v>1225</v>
      </c>
      <c r="E382" s="1" t="s">
        <v>6</v>
      </c>
      <c r="F382" s="1" t="s">
        <v>1226</v>
      </c>
      <c r="G382" s="1" t="s">
        <v>7</v>
      </c>
      <c r="H382" s="9">
        <f>_xlfn.XLOOKUP(Tabla3[[#This Row],[Nit]],Hoja2!A382:A1805,Hoja2!C382:C1805)</f>
        <v>120000000</v>
      </c>
      <c r="I382" s="1" t="str">
        <f>_xlfn.XLOOKUP(Tabla3[[#This Row],[Cliente]],'[1]Datos Contacto'!$A$2:$A$23,'[1]Datos Contacto'!$E$2:$E$23,0,0,1)</f>
        <v>facturacion2@elcarnal.com.co</v>
      </c>
    </row>
    <row r="383" spans="1:9" x14ac:dyDescent="0.25">
      <c r="A383" s="1">
        <v>891856457</v>
      </c>
      <c r="B383" s="1" t="s">
        <v>398</v>
      </c>
      <c r="C383" s="1"/>
      <c r="D383" s="21" t="s">
        <v>1225</v>
      </c>
      <c r="E383" s="1" t="s">
        <v>9</v>
      </c>
      <c r="F383" s="1" t="s">
        <v>1226</v>
      </c>
      <c r="G383" s="1" t="s">
        <v>20</v>
      </c>
      <c r="H383" s="9">
        <f>_xlfn.XLOOKUP(Tabla3[[#This Row],[Nit]],Hoja2!A383:A1806,Hoja2!C383:C1806)</f>
        <v>1000000</v>
      </c>
      <c r="I383" s="1">
        <f>_xlfn.XLOOKUP(Tabla3[[#This Row],[Cliente]],'[1]Datos Contacto'!$A$2:$A$23,'[1]Datos Contacto'!$E$2:$E$23,0,0,1)</f>
        <v>0</v>
      </c>
    </row>
    <row r="384" spans="1:9" x14ac:dyDescent="0.25">
      <c r="A384" s="1">
        <v>900675420</v>
      </c>
      <c r="B384" s="1" t="s">
        <v>399</v>
      </c>
      <c r="C384" s="1"/>
      <c r="D384" s="21" t="s">
        <v>1225</v>
      </c>
      <c r="E384" s="1" t="s">
        <v>9</v>
      </c>
      <c r="F384" s="1" t="s">
        <v>1226</v>
      </c>
      <c r="G384" s="1" t="s">
        <v>15</v>
      </c>
      <c r="H384" s="9">
        <f>_xlfn.XLOOKUP(Tabla3[[#This Row],[Nit]],Hoja2!A384:A1807,Hoja2!C384:C1807)</f>
        <v>1000000</v>
      </c>
      <c r="I384" s="1">
        <f>_xlfn.XLOOKUP(Tabla3[[#This Row],[Cliente]],'[1]Datos Contacto'!$A$2:$A$23,'[1]Datos Contacto'!$E$2:$E$23,0,0,1)</f>
        <v>0</v>
      </c>
    </row>
    <row r="385" spans="1:9" x14ac:dyDescent="0.25">
      <c r="A385" s="1">
        <v>901354603</v>
      </c>
      <c r="B385" s="1" t="s">
        <v>400</v>
      </c>
      <c r="C385" s="1"/>
      <c r="D385" s="21" t="s">
        <v>1225</v>
      </c>
      <c r="E385" s="1" t="s">
        <v>9</v>
      </c>
      <c r="F385" s="1" t="s">
        <v>1226</v>
      </c>
      <c r="G385" s="1" t="s">
        <v>11</v>
      </c>
      <c r="H385" s="9">
        <f>_xlfn.XLOOKUP(Tabla3[[#This Row],[Nit]],Hoja2!A385:A1808,Hoja2!C385:C1808)</f>
        <v>1000000</v>
      </c>
      <c r="I385" s="1">
        <f>_xlfn.XLOOKUP(Tabla3[[#This Row],[Cliente]],'[1]Datos Contacto'!$A$2:$A$23,'[1]Datos Contacto'!$E$2:$E$23,0,0,1)</f>
        <v>0</v>
      </c>
    </row>
    <row r="386" spans="1:9" x14ac:dyDescent="0.25">
      <c r="A386" s="1">
        <v>901494828</v>
      </c>
      <c r="B386" s="1" t="s">
        <v>401</v>
      </c>
      <c r="C386" s="1"/>
      <c r="D386" s="21" t="s">
        <v>1225</v>
      </c>
      <c r="E386" s="1" t="s">
        <v>9</v>
      </c>
      <c r="F386" s="1" t="s">
        <v>1226</v>
      </c>
      <c r="G386" s="1" t="s">
        <v>7</v>
      </c>
      <c r="H386" s="9">
        <f>_xlfn.XLOOKUP(Tabla3[[#This Row],[Nit]],Hoja2!A386:A1809,Hoja2!C386:C1809)</f>
        <v>1000000</v>
      </c>
      <c r="I386" s="1">
        <f>_xlfn.XLOOKUP(Tabla3[[#This Row],[Cliente]],'[1]Datos Contacto'!$A$2:$A$23,'[1]Datos Contacto'!$E$2:$E$23,0,0,1)</f>
        <v>0</v>
      </c>
    </row>
    <row r="387" spans="1:9" x14ac:dyDescent="0.25">
      <c r="A387" s="1">
        <v>900793046</v>
      </c>
      <c r="B387" s="1" t="s">
        <v>402</v>
      </c>
      <c r="C387" s="1"/>
      <c r="D387" s="21" t="s">
        <v>1225</v>
      </c>
      <c r="E387" s="1" t="s">
        <v>9</v>
      </c>
      <c r="F387" s="1" t="s">
        <v>1226</v>
      </c>
      <c r="G387" s="1" t="s">
        <v>20</v>
      </c>
      <c r="H387" s="9">
        <f>_xlfn.XLOOKUP(Tabla3[[#This Row],[Nit]],Hoja2!A387:A1810,Hoja2!C387:C1810)</f>
        <v>1000000</v>
      </c>
      <c r="I387" s="1">
        <f>_xlfn.XLOOKUP(Tabla3[[#This Row],[Cliente]],'[1]Datos Contacto'!$A$2:$A$23,'[1]Datos Contacto'!$E$2:$E$23,0,0,1)</f>
        <v>0</v>
      </c>
    </row>
    <row r="388" spans="1:9" x14ac:dyDescent="0.25">
      <c r="A388" s="1">
        <v>901240494</v>
      </c>
      <c r="B388" s="1" t="s">
        <v>403</v>
      </c>
      <c r="C388" s="1"/>
      <c r="D388" s="21" t="s">
        <v>1225</v>
      </c>
      <c r="E388" s="1" t="s">
        <v>6</v>
      </c>
      <c r="F388" s="1" t="s">
        <v>1226</v>
      </c>
      <c r="G388" s="1" t="s">
        <v>7</v>
      </c>
      <c r="H388" s="9">
        <f>_xlfn.XLOOKUP(Tabla3[[#This Row],[Nit]],Hoja2!A388:A1811,Hoja2!C388:C1811)</f>
        <v>20000000</v>
      </c>
      <c r="I388" s="1">
        <f>_xlfn.XLOOKUP(Tabla3[[#This Row],[Cliente]],'[1]Datos Contacto'!$A$2:$A$23,'[1]Datos Contacto'!$E$2:$E$23,0,0,1)</f>
        <v>0</v>
      </c>
    </row>
    <row r="389" spans="1:9" x14ac:dyDescent="0.25">
      <c r="A389" s="1">
        <v>901558589</v>
      </c>
      <c r="B389" s="1" t="s">
        <v>404</v>
      </c>
      <c r="C389" s="1"/>
      <c r="D389" s="21" t="s">
        <v>1225</v>
      </c>
      <c r="E389" s="1" t="s">
        <v>9</v>
      </c>
      <c r="F389" s="1" t="s">
        <v>1226</v>
      </c>
      <c r="G389" s="1" t="s">
        <v>11</v>
      </c>
      <c r="H389" s="9">
        <f>_xlfn.XLOOKUP(Tabla3[[#This Row],[Nit]],Hoja2!A389:A1812,Hoja2!C389:C1812)</f>
        <v>1000000</v>
      </c>
      <c r="I389" s="1">
        <f>_xlfn.XLOOKUP(Tabla3[[#This Row],[Cliente]],'[1]Datos Contacto'!$A$2:$A$23,'[1]Datos Contacto'!$E$2:$E$23,0,0,1)</f>
        <v>0</v>
      </c>
    </row>
    <row r="390" spans="1:9" x14ac:dyDescent="0.25">
      <c r="A390" s="1">
        <v>901222813</v>
      </c>
      <c r="B390" s="1" t="s">
        <v>405</v>
      </c>
      <c r="C390" s="1"/>
      <c r="D390" s="21" t="s">
        <v>1225</v>
      </c>
      <c r="E390" s="1" t="s">
        <v>9</v>
      </c>
      <c r="F390" s="1" t="s">
        <v>1226</v>
      </c>
      <c r="G390" s="1" t="s">
        <v>7</v>
      </c>
      <c r="H390" s="9">
        <f>_xlfn.XLOOKUP(Tabla3[[#This Row],[Nit]],Hoja2!A390:A1813,Hoja2!C390:C1813)</f>
        <v>5000000</v>
      </c>
      <c r="I390" s="1">
        <f>_xlfn.XLOOKUP(Tabla3[[#This Row],[Cliente]],'[1]Datos Contacto'!$A$2:$A$23,'[1]Datos Contacto'!$E$2:$E$23,0,0,1)</f>
        <v>0</v>
      </c>
    </row>
    <row r="391" spans="1:9" x14ac:dyDescent="0.25">
      <c r="A391" s="1">
        <v>901261990</v>
      </c>
      <c r="B391" s="1" t="s">
        <v>406</v>
      </c>
      <c r="C391" s="1"/>
      <c r="D391" s="21" t="s">
        <v>1225</v>
      </c>
      <c r="E391" s="1" t="s">
        <v>9</v>
      </c>
      <c r="F391" s="1" t="s">
        <v>1226</v>
      </c>
      <c r="G391" s="1" t="s">
        <v>7</v>
      </c>
      <c r="H391" s="9">
        <f>_xlfn.XLOOKUP(Tabla3[[#This Row],[Nit]],Hoja2!A391:A1814,Hoja2!C391:C1814)</f>
        <v>1000000</v>
      </c>
      <c r="I391" s="1">
        <f>_xlfn.XLOOKUP(Tabla3[[#This Row],[Cliente]],'[1]Datos Contacto'!$A$2:$A$23,'[1]Datos Contacto'!$E$2:$E$23,0,0,1)</f>
        <v>0</v>
      </c>
    </row>
    <row r="392" spans="1:9" x14ac:dyDescent="0.25">
      <c r="A392" s="1">
        <v>901498635</v>
      </c>
      <c r="B392" s="1" t="s">
        <v>407</v>
      </c>
      <c r="C392" s="1"/>
      <c r="D392" s="21" t="s">
        <v>1225</v>
      </c>
      <c r="E392" s="1" t="s">
        <v>9</v>
      </c>
      <c r="F392" s="1" t="s">
        <v>1226</v>
      </c>
      <c r="G392" s="1" t="s">
        <v>7</v>
      </c>
      <c r="H392" s="9">
        <f>_xlfn.XLOOKUP(Tabla3[[#This Row],[Nit]],Hoja2!A392:A1815,Hoja2!C392:C1815)</f>
        <v>1000000</v>
      </c>
      <c r="I392" s="1">
        <f>_xlfn.XLOOKUP(Tabla3[[#This Row],[Cliente]],'[1]Datos Contacto'!$A$2:$A$23,'[1]Datos Contacto'!$E$2:$E$23,0,0,1)</f>
        <v>0</v>
      </c>
    </row>
    <row r="393" spans="1:9" x14ac:dyDescent="0.25">
      <c r="A393" s="1">
        <v>860039586</v>
      </c>
      <c r="B393" s="1" t="s">
        <v>408</v>
      </c>
      <c r="C393" s="1"/>
      <c r="D393" s="21" t="s">
        <v>1225</v>
      </c>
      <c r="E393" s="1" t="s">
        <v>9</v>
      </c>
      <c r="F393" s="1" t="s">
        <v>1226</v>
      </c>
      <c r="G393" s="1" t="s">
        <v>15</v>
      </c>
      <c r="H393" s="9">
        <f>_xlfn.XLOOKUP(Tabla3[[#This Row],[Nit]],Hoja2!A393:A1816,Hoja2!C393:C1816)</f>
        <v>1000000</v>
      </c>
      <c r="I393" s="1">
        <f>_xlfn.XLOOKUP(Tabla3[[#This Row],[Cliente]],'[1]Datos Contacto'!$A$2:$A$23,'[1]Datos Contacto'!$E$2:$E$23,0,0,1)</f>
        <v>0</v>
      </c>
    </row>
    <row r="394" spans="1:9" x14ac:dyDescent="0.25">
      <c r="A394" s="1">
        <v>901322103</v>
      </c>
      <c r="B394" s="1" t="s">
        <v>409</v>
      </c>
      <c r="C394" s="1"/>
      <c r="D394" s="21" t="s">
        <v>1225</v>
      </c>
      <c r="E394" s="1" t="s">
        <v>9</v>
      </c>
      <c r="F394" s="1" t="s">
        <v>1226</v>
      </c>
      <c r="G394" s="1" t="s">
        <v>7</v>
      </c>
      <c r="H394" s="9">
        <f>_xlfn.XLOOKUP(Tabla3[[#This Row],[Nit]],Hoja2!A394:A1817,Hoja2!C394:C1817)</f>
        <v>1000000</v>
      </c>
      <c r="I394" s="1">
        <f>_xlfn.XLOOKUP(Tabla3[[#This Row],[Cliente]],'[1]Datos Contacto'!$A$2:$A$23,'[1]Datos Contacto'!$E$2:$E$23,0,0,1)</f>
        <v>0</v>
      </c>
    </row>
    <row r="395" spans="1:9" x14ac:dyDescent="0.25">
      <c r="A395" s="1">
        <v>452</v>
      </c>
      <c r="B395" s="1" t="s">
        <v>410</v>
      </c>
      <c r="C395" s="1"/>
      <c r="D395" s="21" t="s">
        <v>1225</v>
      </c>
      <c r="E395" s="1" t="s">
        <v>9</v>
      </c>
      <c r="F395" s="1" t="s">
        <v>1226</v>
      </c>
      <c r="G395" s="1" t="s">
        <v>7</v>
      </c>
      <c r="H395" s="9">
        <f>_xlfn.XLOOKUP(Tabla3[[#This Row],[Nit]],Hoja2!A395:A1818,Hoja2!C395:C1818)</f>
        <v>1000000</v>
      </c>
      <c r="I395" s="1">
        <f>_xlfn.XLOOKUP(Tabla3[[#This Row],[Cliente]],'[1]Datos Contacto'!$A$2:$A$23,'[1]Datos Contacto'!$E$2:$E$23,0,0,1)</f>
        <v>0</v>
      </c>
    </row>
    <row r="396" spans="1:9" x14ac:dyDescent="0.25">
      <c r="A396" s="1">
        <v>80375428</v>
      </c>
      <c r="B396" s="1" t="s">
        <v>411</v>
      </c>
      <c r="C396" s="1"/>
      <c r="D396" s="21" t="s">
        <v>1225</v>
      </c>
      <c r="E396" s="1" t="s">
        <v>9</v>
      </c>
      <c r="F396" s="1" t="s">
        <v>1226</v>
      </c>
      <c r="G396" s="1" t="s">
        <v>11</v>
      </c>
      <c r="H396" s="9">
        <f>_xlfn.XLOOKUP(Tabla3[[#This Row],[Nit]],Hoja2!A396:A1819,Hoja2!C396:C1819)</f>
        <v>1000000</v>
      </c>
      <c r="I396" s="1">
        <f>_xlfn.XLOOKUP(Tabla3[[#This Row],[Cliente]],'[1]Datos Contacto'!$A$2:$A$23,'[1]Datos Contacto'!$E$2:$E$23,0,0,1)</f>
        <v>0</v>
      </c>
    </row>
    <row r="397" spans="1:9" x14ac:dyDescent="0.25">
      <c r="A397" s="1">
        <v>860026895</v>
      </c>
      <c r="B397" s="1" t="s">
        <v>412</v>
      </c>
      <c r="C397" s="1"/>
      <c r="D397" s="21" t="s">
        <v>1225</v>
      </c>
      <c r="E397" s="1" t="s">
        <v>9</v>
      </c>
      <c r="F397" s="1" t="s">
        <v>1226</v>
      </c>
      <c r="G397" s="1" t="s">
        <v>11</v>
      </c>
      <c r="H397" s="9">
        <f>_xlfn.XLOOKUP(Tabla3[[#This Row],[Nit]],Hoja2!A397:A1820,Hoja2!C397:C1820)</f>
        <v>1000000</v>
      </c>
      <c r="I397" s="1">
        <f>_xlfn.XLOOKUP(Tabla3[[#This Row],[Cliente]],'[1]Datos Contacto'!$A$2:$A$23,'[1]Datos Contacto'!$E$2:$E$23,0,0,1)</f>
        <v>0</v>
      </c>
    </row>
    <row r="398" spans="1:9" x14ac:dyDescent="0.25">
      <c r="A398" s="1">
        <v>901691968</v>
      </c>
      <c r="B398" s="1" t="s">
        <v>413</v>
      </c>
      <c r="C398" s="1"/>
      <c r="D398" s="21" t="s">
        <v>1225</v>
      </c>
      <c r="E398" s="1" t="s">
        <v>9</v>
      </c>
      <c r="F398" s="1" t="s">
        <v>1226</v>
      </c>
      <c r="G398" s="1" t="s">
        <v>7</v>
      </c>
      <c r="H398" s="9">
        <f>_xlfn.XLOOKUP(Tabla3[[#This Row],[Nit]],Hoja2!A398:A1821,Hoja2!C398:C1821)</f>
        <v>1000000</v>
      </c>
      <c r="I398" s="1">
        <f>_xlfn.XLOOKUP(Tabla3[[#This Row],[Cliente]],'[1]Datos Contacto'!$A$2:$A$23,'[1]Datos Contacto'!$E$2:$E$23,0,0,1)</f>
        <v>0</v>
      </c>
    </row>
    <row r="399" spans="1:9" x14ac:dyDescent="0.25">
      <c r="A399" s="1">
        <v>900308716</v>
      </c>
      <c r="B399" s="1" t="s">
        <v>414</v>
      </c>
      <c r="C399" s="1"/>
      <c r="D399" s="21" t="s">
        <v>1225</v>
      </c>
      <c r="E399" s="1" t="s">
        <v>9</v>
      </c>
      <c r="F399" s="1" t="s">
        <v>1226</v>
      </c>
      <c r="G399" s="1" t="s">
        <v>36</v>
      </c>
      <c r="H399" s="9">
        <f>_xlfn.XLOOKUP(Tabla3[[#This Row],[Nit]],Hoja2!A399:A1822,Hoja2!C399:C1822)</f>
        <v>1000000</v>
      </c>
      <c r="I399" s="1">
        <f>_xlfn.XLOOKUP(Tabla3[[#This Row],[Cliente]],'[1]Datos Contacto'!$A$2:$A$23,'[1]Datos Contacto'!$E$2:$E$23,0,0,1)</f>
        <v>0</v>
      </c>
    </row>
    <row r="400" spans="1:9" x14ac:dyDescent="0.25">
      <c r="A400" s="1">
        <v>74810352</v>
      </c>
      <c r="B400" s="1" t="s">
        <v>415</v>
      </c>
      <c r="C400" s="1"/>
      <c r="D400" s="21" t="s">
        <v>1225</v>
      </c>
      <c r="E400" s="1" t="s">
        <v>9</v>
      </c>
      <c r="F400" s="1" t="s">
        <v>1226</v>
      </c>
      <c r="G400" s="1" t="s">
        <v>15</v>
      </c>
      <c r="H400" s="9">
        <f>_xlfn.XLOOKUP(Tabla3[[#This Row],[Nit]],Hoja2!A400:A1823,Hoja2!C400:C1823)</f>
        <v>1000000</v>
      </c>
      <c r="I400" s="1">
        <f>_xlfn.XLOOKUP(Tabla3[[#This Row],[Cliente]],'[1]Datos Contacto'!$A$2:$A$23,'[1]Datos Contacto'!$E$2:$E$23,0,0,1)</f>
        <v>0</v>
      </c>
    </row>
    <row r="401" spans="1:9" x14ac:dyDescent="0.25">
      <c r="A401" s="1">
        <v>79530149</v>
      </c>
      <c r="B401" s="1" t="s">
        <v>416</v>
      </c>
      <c r="C401" s="1"/>
      <c r="D401" s="21" t="s">
        <v>1225</v>
      </c>
      <c r="E401" s="1" t="s">
        <v>9</v>
      </c>
      <c r="F401" s="1" t="s">
        <v>1226</v>
      </c>
      <c r="G401" s="1" t="s">
        <v>11</v>
      </c>
      <c r="H401" s="9">
        <f>_xlfn.XLOOKUP(Tabla3[[#This Row],[Nit]],Hoja2!A401:A1824,Hoja2!C401:C1824)</f>
        <v>1000000</v>
      </c>
      <c r="I401" s="1">
        <f>_xlfn.XLOOKUP(Tabla3[[#This Row],[Cliente]],'[1]Datos Contacto'!$A$2:$A$23,'[1]Datos Contacto'!$E$2:$E$23,0,0,1)</f>
        <v>0</v>
      </c>
    </row>
    <row r="402" spans="1:9" x14ac:dyDescent="0.25">
      <c r="A402" s="1">
        <v>140</v>
      </c>
      <c r="B402" s="1" t="s">
        <v>417</v>
      </c>
      <c r="C402" s="1"/>
      <c r="D402" s="21" t="s">
        <v>1225</v>
      </c>
      <c r="E402" s="1" t="s">
        <v>9</v>
      </c>
      <c r="F402" s="1" t="s">
        <v>1226</v>
      </c>
      <c r="G402" s="1" t="s">
        <v>11</v>
      </c>
      <c r="H402" s="9">
        <f>_xlfn.XLOOKUP(Tabla3[[#This Row],[Nit]],Hoja2!A402:A1825,Hoja2!C402:C1825)</f>
        <v>1000000</v>
      </c>
      <c r="I402" s="1">
        <f>_xlfn.XLOOKUP(Tabla3[[#This Row],[Cliente]],'[1]Datos Contacto'!$A$2:$A$23,'[1]Datos Contacto'!$E$2:$E$23,0,0,1)</f>
        <v>0</v>
      </c>
    </row>
    <row r="403" spans="1:9" x14ac:dyDescent="0.25">
      <c r="A403" s="1">
        <v>4239973</v>
      </c>
      <c r="B403" s="1" t="s">
        <v>418</v>
      </c>
      <c r="C403" s="1"/>
      <c r="D403" s="21" t="s">
        <v>1225</v>
      </c>
      <c r="E403" s="1" t="s">
        <v>9</v>
      </c>
      <c r="F403" s="1" t="s">
        <v>1226</v>
      </c>
      <c r="G403" s="1" t="s">
        <v>11</v>
      </c>
      <c r="H403" s="9">
        <f>_xlfn.XLOOKUP(Tabla3[[#This Row],[Nit]],Hoja2!A403:A1826,Hoja2!C403:C1826)</f>
        <v>1000000</v>
      </c>
      <c r="I403" s="1">
        <f>_xlfn.XLOOKUP(Tabla3[[#This Row],[Cliente]],'[1]Datos Contacto'!$A$2:$A$23,'[1]Datos Contacto'!$E$2:$E$23,0,0,1)</f>
        <v>0</v>
      </c>
    </row>
    <row r="404" spans="1:9" x14ac:dyDescent="0.25">
      <c r="A404" s="1">
        <v>80175926</v>
      </c>
      <c r="B404" s="1" t="s">
        <v>419</v>
      </c>
      <c r="C404" s="1"/>
      <c r="D404" s="21" t="s">
        <v>1225</v>
      </c>
      <c r="E404" s="1" t="s">
        <v>9</v>
      </c>
      <c r="F404" s="1" t="s">
        <v>1226</v>
      </c>
      <c r="G404" s="1" t="s">
        <v>11</v>
      </c>
      <c r="H404" s="9">
        <f>_xlfn.XLOOKUP(Tabla3[[#This Row],[Nit]],Hoja2!A404:A1827,Hoja2!C404:C1827)</f>
        <v>3000000</v>
      </c>
      <c r="I404" s="1">
        <f>_xlfn.XLOOKUP(Tabla3[[#This Row],[Cliente]],'[1]Datos Contacto'!$A$2:$A$23,'[1]Datos Contacto'!$E$2:$E$23,0,0,1)</f>
        <v>0</v>
      </c>
    </row>
    <row r="405" spans="1:9" x14ac:dyDescent="0.25">
      <c r="A405" s="1">
        <v>79784607</v>
      </c>
      <c r="B405" s="1" t="s">
        <v>420</v>
      </c>
      <c r="C405" s="1"/>
      <c r="D405" s="21" t="s">
        <v>1225</v>
      </c>
      <c r="E405" s="1" t="s">
        <v>9</v>
      </c>
      <c r="F405" s="1" t="s">
        <v>1226</v>
      </c>
      <c r="G405" s="1" t="s">
        <v>11</v>
      </c>
      <c r="H405" s="9">
        <f>_xlfn.XLOOKUP(Tabla3[[#This Row],[Nit]],Hoja2!A405:A1828,Hoja2!C405:C1828)</f>
        <v>1000000</v>
      </c>
      <c r="I405" s="1">
        <f>_xlfn.XLOOKUP(Tabla3[[#This Row],[Cliente]],'[1]Datos Contacto'!$A$2:$A$23,'[1]Datos Contacto'!$E$2:$E$23,0,0,1)</f>
        <v>0</v>
      </c>
    </row>
    <row r="406" spans="1:9" x14ac:dyDescent="0.25">
      <c r="A406" s="1">
        <v>1020801088</v>
      </c>
      <c r="B406" s="1" t="s">
        <v>421</v>
      </c>
      <c r="C406" s="1"/>
      <c r="D406" s="21" t="s">
        <v>1225</v>
      </c>
      <c r="E406" s="1" t="s">
        <v>9</v>
      </c>
      <c r="F406" s="1" t="s">
        <v>1226</v>
      </c>
      <c r="G406" s="1" t="s">
        <v>11</v>
      </c>
      <c r="H406" s="9">
        <f>_xlfn.XLOOKUP(Tabla3[[#This Row],[Nit]],Hoja2!A406:A1829,Hoja2!C406:C1829)</f>
        <v>1000000</v>
      </c>
      <c r="I406" s="1">
        <f>_xlfn.XLOOKUP(Tabla3[[#This Row],[Cliente]],'[1]Datos Contacto'!$A$2:$A$23,'[1]Datos Contacto'!$E$2:$E$23,0,0,1)</f>
        <v>0</v>
      </c>
    </row>
    <row r="407" spans="1:9" x14ac:dyDescent="0.25">
      <c r="A407" s="1">
        <v>900748508</v>
      </c>
      <c r="B407" s="1" t="s">
        <v>422</v>
      </c>
      <c r="C407" s="1"/>
      <c r="D407" s="21" t="s">
        <v>1225</v>
      </c>
      <c r="E407" s="1" t="s">
        <v>9</v>
      </c>
      <c r="F407" s="1" t="s">
        <v>1226</v>
      </c>
      <c r="G407" s="1" t="s">
        <v>11</v>
      </c>
      <c r="H407" s="9">
        <f>_xlfn.XLOOKUP(Tabla3[[#This Row],[Nit]],Hoja2!A407:A1830,Hoja2!C407:C1830)</f>
        <v>1000000</v>
      </c>
      <c r="I407" s="1">
        <f>_xlfn.XLOOKUP(Tabla3[[#This Row],[Cliente]],'[1]Datos Contacto'!$A$2:$A$23,'[1]Datos Contacto'!$E$2:$E$23,0,0,1)</f>
        <v>0</v>
      </c>
    </row>
    <row r="408" spans="1:9" x14ac:dyDescent="0.25">
      <c r="A408" s="1">
        <v>123456789</v>
      </c>
      <c r="B408" s="1" t="s">
        <v>423</v>
      </c>
      <c r="C408" s="1"/>
      <c r="D408" s="21" t="s">
        <v>1225</v>
      </c>
      <c r="E408" s="1" t="s">
        <v>9</v>
      </c>
      <c r="F408" s="1" t="s">
        <v>1226</v>
      </c>
      <c r="G408" s="1" t="s">
        <v>7</v>
      </c>
      <c r="H408" s="9">
        <f>_xlfn.XLOOKUP(Tabla3[[#This Row],[Nit]],Hoja2!A408:A1831,Hoja2!C408:C1831)</f>
        <v>1000000</v>
      </c>
      <c r="I408" s="1">
        <f>_xlfn.XLOOKUP(Tabla3[[#This Row],[Cliente]],'[1]Datos Contacto'!$A$2:$A$23,'[1]Datos Contacto'!$E$2:$E$23,0,0,1)</f>
        <v>0</v>
      </c>
    </row>
    <row r="409" spans="1:9" x14ac:dyDescent="0.25">
      <c r="A409" s="1">
        <v>80057506</v>
      </c>
      <c r="B409" s="1" t="s">
        <v>424</v>
      </c>
      <c r="C409" s="1"/>
      <c r="D409" s="21" t="s">
        <v>1225</v>
      </c>
      <c r="E409" s="1" t="s">
        <v>9</v>
      </c>
      <c r="F409" s="1" t="s">
        <v>1226</v>
      </c>
      <c r="G409" s="1" t="s">
        <v>7</v>
      </c>
      <c r="H409" s="9">
        <f>_xlfn.XLOOKUP(Tabla3[[#This Row],[Nit]],Hoja2!A409:A1832,Hoja2!C409:C1832)</f>
        <v>1000000</v>
      </c>
      <c r="I409" s="1">
        <f>_xlfn.XLOOKUP(Tabla3[[#This Row],[Cliente]],'[1]Datos Contacto'!$A$2:$A$23,'[1]Datos Contacto'!$E$2:$E$23,0,0,1)</f>
        <v>0</v>
      </c>
    </row>
    <row r="410" spans="1:9" x14ac:dyDescent="0.25">
      <c r="A410" s="1">
        <v>149</v>
      </c>
      <c r="B410" s="1" t="s">
        <v>425</v>
      </c>
      <c r="C410" s="1"/>
      <c r="D410" s="21" t="s">
        <v>1225</v>
      </c>
      <c r="E410" s="1" t="s">
        <v>9</v>
      </c>
      <c r="F410" s="1" t="s">
        <v>1226</v>
      </c>
      <c r="G410" s="1" t="s">
        <v>11</v>
      </c>
      <c r="H410" s="9">
        <f>_xlfn.XLOOKUP(Tabla3[[#This Row],[Nit]],Hoja2!A410:A1833,Hoja2!C410:C1833)</f>
        <v>1000000</v>
      </c>
      <c r="I410" s="1">
        <f>_xlfn.XLOOKUP(Tabla3[[#This Row],[Cliente]],'[1]Datos Contacto'!$A$2:$A$23,'[1]Datos Contacto'!$E$2:$E$23,0,0,1)</f>
        <v>0</v>
      </c>
    </row>
    <row r="411" spans="1:9" x14ac:dyDescent="0.25">
      <c r="A411" s="1">
        <v>386</v>
      </c>
      <c r="B411" s="1" t="s">
        <v>426</v>
      </c>
      <c r="C411" s="1"/>
      <c r="D411" s="21" t="s">
        <v>1225</v>
      </c>
      <c r="E411" s="1" t="s">
        <v>9</v>
      </c>
      <c r="F411" s="1" t="s">
        <v>1226</v>
      </c>
      <c r="G411" s="1" t="s">
        <v>7</v>
      </c>
      <c r="H411" s="9">
        <f>_xlfn.XLOOKUP(Tabla3[[#This Row],[Nit]],Hoja2!A411:A1834,Hoja2!C411:C1834)</f>
        <v>1000000</v>
      </c>
      <c r="I411" s="1">
        <f>_xlfn.XLOOKUP(Tabla3[[#This Row],[Cliente]],'[1]Datos Contacto'!$A$2:$A$23,'[1]Datos Contacto'!$E$2:$E$23,0,0,1)</f>
        <v>0</v>
      </c>
    </row>
    <row r="412" spans="1:9" x14ac:dyDescent="0.25">
      <c r="A412" s="1">
        <v>1056054084</v>
      </c>
      <c r="B412" s="1" t="s">
        <v>427</v>
      </c>
      <c r="C412" s="1"/>
      <c r="D412" s="21" t="s">
        <v>1225</v>
      </c>
      <c r="E412" s="1" t="s">
        <v>9</v>
      </c>
      <c r="F412" s="1" t="s">
        <v>1226</v>
      </c>
      <c r="G412" s="1" t="s">
        <v>15</v>
      </c>
      <c r="H412" s="9">
        <f>_xlfn.XLOOKUP(Tabla3[[#This Row],[Nit]],Hoja2!A412:A1835,Hoja2!C412:C1835)</f>
        <v>1000000</v>
      </c>
      <c r="I412" s="1">
        <f>_xlfn.XLOOKUP(Tabla3[[#This Row],[Cliente]],'[1]Datos Contacto'!$A$2:$A$23,'[1]Datos Contacto'!$E$2:$E$23,0,0,1)</f>
        <v>0</v>
      </c>
    </row>
    <row r="413" spans="1:9" x14ac:dyDescent="0.25">
      <c r="A413" s="1">
        <v>1014203178</v>
      </c>
      <c r="B413" s="1" t="s">
        <v>428</v>
      </c>
      <c r="C413" s="1"/>
      <c r="D413" s="21" t="s">
        <v>1225</v>
      </c>
      <c r="E413" s="1" t="s">
        <v>9</v>
      </c>
      <c r="F413" s="1" t="s">
        <v>1226</v>
      </c>
      <c r="G413" s="1" t="s">
        <v>7</v>
      </c>
      <c r="H413" s="9">
        <f>_xlfn.XLOOKUP(Tabla3[[#This Row],[Nit]],Hoja2!A413:A1836,Hoja2!C413:C1836)</f>
        <v>1000000</v>
      </c>
      <c r="I413" s="1">
        <f>_xlfn.XLOOKUP(Tabla3[[#This Row],[Cliente]],'[1]Datos Contacto'!$A$2:$A$23,'[1]Datos Contacto'!$E$2:$E$23,0,0,1)</f>
        <v>0</v>
      </c>
    </row>
    <row r="414" spans="1:9" x14ac:dyDescent="0.25">
      <c r="A414" s="1">
        <v>900714990</v>
      </c>
      <c r="B414" s="1" t="s">
        <v>429</v>
      </c>
      <c r="C414" s="1"/>
      <c r="D414" s="21" t="s">
        <v>1225</v>
      </c>
      <c r="E414" s="1" t="s">
        <v>9</v>
      </c>
      <c r="F414" s="1" t="s">
        <v>1226</v>
      </c>
      <c r="G414" s="1" t="s">
        <v>7</v>
      </c>
      <c r="H414" s="9">
        <f>_xlfn.XLOOKUP(Tabla3[[#This Row],[Nit]],Hoja2!A414:A1837,Hoja2!C414:C1837)</f>
        <v>1000000</v>
      </c>
      <c r="I414" s="1">
        <f>_xlfn.XLOOKUP(Tabla3[[#This Row],[Cliente]],'[1]Datos Contacto'!$A$2:$A$23,'[1]Datos Contacto'!$E$2:$E$23,0,0,1)</f>
        <v>0</v>
      </c>
    </row>
    <row r="415" spans="1:9" x14ac:dyDescent="0.25">
      <c r="A415" s="1">
        <v>900361916</v>
      </c>
      <c r="B415" s="1" t="s">
        <v>430</v>
      </c>
      <c r="C415" s="1"/>
      <c r="D415" s="21" t="s">
        <v>1225</v>
      </c>
      <c r="E415" s="1" t="s">
        <v>9</v>
      </c>
      <c r="F415" s="1" t="s">
        <v>1226</v>
      </c>
      <c r="G415" s="1" t="s">
        <v>7</v>
      </c>
      <c r="H415" s="9">
        <f>_xlfn.XLOOKUP(Tabla3[[#This Row],[Nit]],Hoja2!A415:A1838,Hoja2!C415:C1838)</f>
        <v>6000000</v>
      </c>
      <c r="I415" s="1">
        <f>_xlfn.XLOOKUP(Tabla3[[#This Row],[Cliente]],'[1]Datos Contacto'!$A$2:$A$23,'[1]Datos Contacto'!$E$2:$E$23,0,0,1)</f>
        <v>0</v>
      </c>
    </row>
    <row r="416" spans="1:9" x14ac:dyDescent="0.25">
      <c r="A416" s="1">
        <v>52384507</v>
      </c>
      <c r="B416" s="1" t="s">
        <v>431</v>
      </c>
      <c r="C416" s="1"/>
      <c r="D416" s="21" t="s">
        <v>1225</v>
      </c>
      <c r="E416" s="1" t="s">
        <v>9</v>
      </c>
      <c r="F416" s="1" t="s">
        <v>1226</v>
      </c>
      <c r="G416" s="1" t="s">
        <v>7</v>
      </c>
      <c r="H416" s="9">
        <f>_xlfn.XLOOKUP(Tabla3[[#This Row],[Nit]],Hoja2!A416:A1839,Hoja2!C416:C1839)</f>
        <v>1000000</v>
      </c>
      <c r="I416" s="1">
        <f>_xlfn.XLOOKUP(Tabla3[[#This Row],[Cliente]],'[1]Datos Contacto'!$A$2:$A$23,'[1]Datos Contacto'!$E$2:$E$23,0,0,1)</f>
        <v>0</v>
      </c>
    </row>
    <row r="417" spans="1:9" x14ac:dyDescent="0.25">
      <c r="A417" s="1">
        <v>52967038</v>
      </c>
      <c r="B417" s="1" t="s">
        <v>432</v>
      </c>
      <c r="C417" s="1"/>
      <c r="D417" s="21" t="s">
        <v>1225</v>
      </c>
      <c r="E417" s="1" t="s">
        <v>9</v>
      </c>
      <c r="F417" s="1" t="s">
        <v>1226</v>
      </c>
      <c r="G417" s="1" t="s">
        <v>48</v>
      </c>
      <c r="H417" s="9">
        <f>_xlfn.XLOOKUP(Tabla3[[#This Row],[Nit]],Hoja2!A417:A1840,Hoja2!C417:C1840)</f>
        <v>1000000</v>
      </c>
      <c r="I417" s="1">
        <f>_xlfn.XLOOKUP(Tabla3[[#This Row],[Cliente]],'[1]Datos Contacto'!$A$2:$A$23,'[1]Datos Contacto'!$E$2:$E$23,0,0,1)</f>
        <v>0</v>
      </c>
    </row>
    <row r="418" spans="1:9" x14ac:dyDescent="0.25">
      <c r="A418" s="1">
        <v>1121826676</v>
      </c>
      <c r="B418" s="1" t="s">
        <v>433</v>
      </c>
      <c r="C418" s="1"/>
      <c r="D418" s="21" t="s">
        <v>1225</v>
      </c>
      <c r="E418" s="1" t="s">
        <v>9</v>
      </c>
      <c r="F418" s="1" t="s">
        <v>1226</v>
      </c>
      <c r="G418" s="1" t="s">
        <v>15</v>
      </c>
      <c r="H418" s="9">
        <f>_xlfn.XLOOKUP(Tabla3[[#This Row],[Nit]],Hoja2!A418:A1841,Hoja2!C418:C1841)</f>
        <v>1000000</v>
      </c>
      <c r="I418" s="1">
        <f>_xlfn.XLOOKUP(Tabla3[[#This Row],[Cliente]],'[1]Datos Contacto'!$A$2:$A$23,'[1]Datos Contacto'!$E$2:$E$23,0,0,1)</f>
        <v>0</v>
      </c>
    </row>
    <row r="419" spans="1:9" x14ac:dyDescent="0.25">
      <c r="A419" s="1">
        <v>1020798382</v>
      </c>
      <c r="B419" s="1" t="s">
        <v>434</v>
      </c>
      <c r="C419" s="1"/>
      <c r="D419" s="21" t="s">
        <v>1225</v>
      </c>
      <c r="E419" s="1" t="s">
        <v>9</v>
      </c>
      <c r="F419" s="1" t="s">
        <v>1226</v>
      </c>
      <c r="G419" s="1" t="s">
        <v>11</v>
      </c>
      <c r="H419" s="9">
        <f>_xlfn.XLOOKUP(Tabla3[[#This Row],[Nit]],Hoja2!A419:A1842,Hoja2!C419:C1842)</f>
        <v>12000000</v>
      </c>
      <c r="I419" s="1">
        <f>_xlfn.XLOOKUP(Tabla3[[#This Row],[Cliente]],'[1]Datos Contacto'!$A$2:$A$23,'[1]Datos Contacto'!$E$2:$E$23,0,0,1)</f>
        <v>0</v>
      </c>
    </row>
    <row r="420" spans="1:9" x14ac:dyDescent="0.25">
      <c r="A420" s="1">
        <v>13493041</v>
      </c>
      <c r="B420" s="1" t="s">
        <v>435</v>
      </c>
      <c r="C420" s="1"/>
      <c r="D420" s="21" t="s">
        <v>1225</v>
      </c>
      <c r="E420" s="1" t="s">
        <v>9</v>
      </c>
      <c r="F420" s="1" t="s">
        <v>1226</v>
      </c>
      <c r="G420" s="1" t="s">
        <v>7</v>
      </c>
      <c r="H420" s="9">
        <f>_xlfn.XLOOKUP(Tabla3[[#This Row],[Nit]],Hoja2!A420:A1843,Hoja2!C420:C1843)</f>
        <v>1000000</v>
      </c>
      <c r="I420" s="1">
        <f>_xlfn.XLOOKUP(Tabla3[[#This Row],[Cliente]],'[1]Datos Contacto'!$A$2:$A$23,'[1]Datos Contacto'!$E$2:$E$23,0,0,1)</f>
        <v>0</v>
      </c>
    </row>
    <row r="421" spans="1:9" x14ac:dyDescent="0.25">
      <c r="A421" s="1">
        <v>901114729</v>
      </c>
      <c r="B421" s="1" t="s">
        <v>436</v>
      </c>
      <c r="C421" s="1"/>
      <c r="D421" s="21" t="s">
        <v>1225</v>
      </c>
      <c r="E421" s="1" t="s">
        <v>9</v>
      </c>
      <c r="F421" s="1" t="s">
        <v>1226</v>
      </c>
      <c r="G421" s="1" t="s">
        <v>11</v>
      </c>
      <c r="H421" s="9">
        <f>_xlfn.XLOOKUP(Tabla3[[#This Row],[Nit]],Hoja2!A421:A1844,Hoja2!C421:C1844)</f>
        <v>1000000</v>
      </c>
      <c r="I421" s="1">
        <f>_xlfn.XLOOKUP(Tabla3[[#This Row],[Cliente]],'[1]Datos Contacto'!$A$2:$A$23,'[1]Datos Contacto'!$E$2:$E$23,0,0,1)</f>
        <v>0</v>
      </c>
    </row>
    <row r="422" spans="1:9" x14ac:dyDescent="0.25">
      <c r="A422" s="1">
        <v>156</v>
      </c>
      <c r="B422" s="1" t="s">
        <v>437</v>
      </c>
      <c r="C422" s="1"/>
      <c r="D422" s="21" t="s">
        <v>1225</v>
      </c>
      <c r="E422" s="1" t="s">
        <v>9</v>
      </c>
      <c r="F422" s="1" t="s">
        <v>1226</v>
      </c>
      <c r="G422" s="1" t="s">
        <v>11</v>
      </c>
      <c r="H422" s="9">
        <f>_xlfn.XLOOKUP(Tabla3[[#This Row],[Nit]],Hoja2!A422:A1845,Hoja2!C422:C1845)</f>
        <v>1000000</v>
      </c>
      <c r="I422" s="1">
        <f>_xlfn.XLOOKUP(Tabla3[[#This Row],[Cliente]],'[1]Datos Contacto'!$A$2:$A$23,'[1]Datos Contacto'!$E$2:$E$23,0,0,1)</f>
        <v>0</v>
      </c>
    </row>
    <row r="423" spans="1:9" x14ac:dyDescent="0.25">
      <c r="A423" s="1">
        <v>13616145</v>
      </c>
      <c r="B423" s="1" t="s">
        <v>438</v>
      </c>
      <c r="C423" s="1"/>
      <c r="D423" s="21" t="s">
        <v>1225</v>
      </c>
      <c r="E423" s="1" t="s">
        <v>9</v>
      </c>
      <c r="F423" s="1" t="s">
        <v>1226</v>
      </c>
      <c r="G423" s="1" t="s">
        <v>15</v>
      </c>
      <c r="H423" s="9">
        <f>_xlfn.XLOOKUP(Tabla3[[#This Row],[Nit]],Hoja2!A423:A1846,Hoja2!C423:C1846)</f>
        <v>1000000</v>
      </c>
      <c r="I423" s="1">
        <f>_xlfn.XLOOKUP(Tabla3[[#This Row],[Cliente]],'[1]Datos Contacto'!$A$2:$A$23,'[1]Datos Contacto'!$E$2:$E$23,0,0,1)</f>
        <v>0</v>
      </c>
    </row>
    <row r="424" spans="1:9" x14ac:dyDescent="0.25">
      <c r="A424" s="1">
        <v>225</v>
      </c>
      <c r="B424" s="1" t="s">
        <v>439</v>
      </c>
      <c r="C424" s="1"/>
      <c r="D424" s="21" t="s">
        <v>1225</v>
      </c>
      <c r="E424" s="1" t="s">
        <v>9</v>
      </c>
      <c r="F424" s="1" t="s">
        <v>1226</v>
      </c>
      <c r="G424" s="1" t="s">
        <v>11</v>
      </c>
      <c r="H424" s="9">
        <f>_xlfn.XLOOKUP(Tabla3[[#This Row],[Nit]],Hoja2!A424:A1847,Hoja2!C424:C1847)</f>
        <v>1000000</v>
      </c>
      <c r="I424" s="1">
        <f>_xlfn.XLOOKUP(Tabla3[[#This Row],[Cliente]],'[1]Datos Contacto'!$A$2:$A$23,'[1]Datos Contacto'!$E$2:$E$23,0,0,1)</f>
        <v>0</v>
      </c>
    </row>
    <row r="425" spans="1:9" x14ac:dyDescent="0.25">
      <c r="A425" s="1">
        <v>181</v>
      </c>
      <c r="B425" s="1" t="s">
        <v>440</v>
      </c>
      <c r="C425" s="1"/>
      <c r="D425" s="21" t="s">
        <v>1225</v>
      </c>
      <c r="E425" s="1" t="s">
        <v>9</v>
      </c>
      <c r="F425" s="1" t="s">
        <v>1226</v>
      </c>
      <c r="G425" s="1" t="s">
        <v>15</v>
      </c>
      <c r="H425" s="9">
        <f>_xlfn.XLOOKUP(Tabla3[[#This Row],[Nit]],Hoja2!A425:A1848,Hoja2!C425:C1848)</f>
        <v>1000000</v>
      </c>
      <c r="I425" s="1">
        <f>_xlfn.XLOOKUP(Tabla3[[#This Row],[Cliente]],'[1]Datos Contacto'!$A$2:$A$23,'[1]Datos Contacto'!$E$2:$E$23,0,0,1)</f>
        <v>0</v>
      </c>
    </row>
    <row r="426" spans="1:9" x14ac:dyDescent="0.25">
      <c r="A426" s="1">
        <v>80245970</v>
      </c>
      <c r="B426" s="1" t="s">
        <v>441</v>
      </c>
      <c r="C426" s="1"/>
      <c r="D426" s="21" t="s">
        <v>1225</v>
      </c>
      <c r="E426" s="1" t="s">
        <v>9</v>
      </c>
      <c r="F426" s="1" t="s">
        <v>1226</v>
      </c>
      <c r="G426" s="1" t="s">
        <v>11</v>
      </c>
      <c r="H426" s="9">
        <f>_xlfn.XLOOKUP(Tabla3[[#This Row],[Nit]],Hoja2!A426:A1849,Hoja2!C426:C1849)</f>
        <v>1000000</v>
      </c>
      <c r="I426" s="1">
        <f>_xlfn.XLOOKUP(Tabla3[[#This Row],[Cliente]],'[1]Datos Contacto'!$A$2:$A$23,'[1]Datos Contacto'!$E$2:$E$23,0,0,1)</f>
        <v>0</v>
      </c>
    </row>
    <row r="427" spans="1:9" x14ac:dyDescent="0.25">
      <c r="A427" s="1">
        <v>80802765</v>
      </c>
      <c r="B427" s="1" t="s">
        <v>442</v>
      </c>
      <c r="C427" s="1"/>
      <c r="D427" s="21" t="s">
        <v>1225</v>
      </c>
      <c r="E427" s="1" t="s">
        <v>9</v>
      </c>
      <c r="F427" s="1" t="s">
        <v>1226</v>
      </c>
      <c r="G427" s="1" t="s">
        <v>11</v>
      </c>
      <c r="H427" s="9">
        <f>_xlfn.XLOOKUP(Tabla3[[#This Row],[Nit]],Hoja2!A427:A1850,Hoja2!C427:C1850)</f>
        <v>1000000</v>
      </c>
      <c r="I427" s="1">
        <f>_xlfn.XLOOKUP(Tabla3[[#This Row],[Cliente]],'[1]Datos Contacto'!$A$2:$A$23,'[1]Datos Contacto'!$E$2:$E$23,0,0,1)</f>
        <v>0</v>
      </c>
    </row>
    <row r="428" spans="1:9" x14ac:dyDescent="0.25">
      <c r="A428" s="1">
        <v>1058274435</v>
      </c>
      <c r="B428" s="1" t="s">
        <v>443</v>
      </c>
      <c r="C428" s="1"/>
      <c r="D428" s="21" t="s">
        <v>1225</v>
      </c>
      <c r="E428" s="1" t="s">
        <v>9</v>
      </c>
      <c r="F428" s="1" t="s">
        <v>1226</v>
      </c>
      <c r="G428" s="1" t="s">
        <v>11</v>
      </c>
      <c r="H428" s="9">
        <f>_xlfn.XLOOKUP(Tabla3[[#This Row],[Nit]],Hoja2!A428:A1851,Hoja2!C428:C1851)</f>
        <v>1000000</v>
      </c>
      <c r="I428" s="1">
        <f>_xlfn.XLOOKUP(Tabla3[[#This Row],[Cliente]],'[1]Datos Contacto'!$A$2:$A$23,'[1]Datos Contacto'!$E$2:$E$23,0,0,1)</f>
        <v>0</v>
      </c>
    </row>
    <row r="429" spans="1:9" x14ac:dyDescent="0.25">
      <c r="A429" s="1">
        <v>456</v>
      </c>
      <c r="B429" s="1" t="s">
        <v>444</v>
      </c>
      <c r="C429" s="1"/>
      <c r="D429" s="21" t="s">
        <v>1225</v>
      </c>
      <c r="E429" s="1" t="s">
        <v>9</v>
      </c>
      <c r="F429" s="1" t="s">
        <v>1226</v>
      </c>
      <c r="G429" s="1" t="s">
        <v>7</v>
      </c>
      <c r="H429" s="9">
        <f>_xlfn.XLOOKUP(Tabla3[[#This Row],[Nit]],Hoja2!A429:A1852,Hoja2!C429:C1852)</f>
        <v>1000000</v>
      </c>
      <c r="I429" s="1">
        <f>_xlfn.XLOOKUP(Tabla3[[#This Row],[Cliente]],'[1]Datos Contacto'!$A$2:$A$23,'[1]Datos Contacto'!$E$2:$E$23,0,0,1)</f>
        <v>0</v>
      </c>
    </row>
    <row r="430" spans="1:9" x14ac:dyDescent="0.25">
      <c r="A430" s="1">
        <v>13760539</v>
      </c>
      <c r="B430" s="1" t="s">
        <v>445</v>
      </c>
      <c r="C430" s="1"/>
      <c r="D430" s="21" t="s">
        <v>1225</v>
      </c>
      <c r="E430" s="1" t="s">
        <v>9</v>
      </c>
      <c r="F430" s="1" t="s">
        <v>1226</v>
      </c>
      <c r="G430" s="1" t="s">
        <v>15</v>
      </c>
      <c r="H430" s="9">
        <f>_xlfn.XLOOKUP(Tabla3[[#This Row],[Nit]],Hoja2!A430:A1853,Hoja2!C430:C1853)</f>
        <v>1000000</v>
      </c>
      <c r="I430" s="1">
        <f>_xlfn.XLOOKUP(Tabla3[[#This Row],[Cliente]],'[1]Datos Contacto'!$A$2:$A$23,'[1]Datos Contacto'!$E$2:$E$23,0,0,1)</f>
        <v>0</v>
      </c>
    </row>
    <row r="431" spans="1:9" x14ac:dyDescent="0.25">
      <c r="A431" s="1">
        <v>361</v>
      </c>
      <c r="B431" s="1" t="s">
        <v>446</v>
      </c>
      <c r="C431" s="1"/>
      <c r="D431" s="21" t="s">
        <v>1225</v>
      </c>
      <c r="E431" s="1" t="s">
        <v>9</v>
      </c>
      <c r="F431" s="1" t="s">
        <v>1226</v>
      </c>
      <c r="G431" s="1" t="s">
        <v>7</v>
      </c>
      <c r="H431" s="9">
        <f>_xlfn.XLOOKUP(Tabla3[[#This Row],[Nit]],Hoja2!A431:A1854,Hoja2!C431:C1854)</f>
        <v>1000000</v>
      </c>
      <c r="I431" s="1">
        <f>_xlfn.XLOOKUP(Tabla3[[#This Row],[Cliente]],'[1]Datos Contacto'!$A$2:$A$23,'[1]Datos Contacto'!$E$2:$E$23,0,0,1)</f>
        <v>0</v>
      </c>
    </row>
    <row r="432" spans="1:9" x14ac:dyDescent="0.25">
      <c r="A432" s="1">
        <v>1020746546</v>
      </c>
      <c r="B432" s="1" t="s">
        <v>447</v>
      </c>
      <c r="C432" s="1"/>
      <c r="D432" s="21" t="s">
        <v>1225</v>
      </c>
      <c r="E432" s="1" t="s">
        <v>9</v>
      </c>
      <c r="F432" s="1" t="s">
        <v>1226</v>
      </c>
      <c r="G432" s="1" t="s">
        <v>11</v>
      </c>
      <c r="H432" s="9">
        <f>_xlfn.XLOOKUP(Tabla3[[#This Row],[Nit]],Hoja2!A432:A1855,Hoja2!C432:C1855)</f>
        <v>1000000</v>
      </c>
      <c r="I432" s="1">
        <f>_xlfn.XLOOKUP(Tabla3[[#This Row],[Cliente]],'[1]Datos Contacto'!$A$2:$A$23,'[1]Datos Contacto'!$E$2:$E$23,0,0,1)</f>
        <v>0</v>
      </c>
    </row>
    <row r="433" spans="1:9" x14ac:dyDescent="0.25">
      <c r="A433" s="1">
        <v>413</v>
      </c>
      <c r="B433" s="1" t="s">
        <v>448</v>
      </c>
      <c r="C433" s="1"/>
      <c r="D433" s="21" t="s">
        <v>1225</v>
      </c>
      <c r="E433" s="1" t="s">
        <v>9</v>
      </c>
      <c r="F433" s="1" t="s">
        <v>1226</v>
      </c>
      <c r="G433" s="1" t="s">
        <v>7</v>
      </c>
      <c r="H433" s="9">
        <f>_xlfn.XLOOKUP(Tabla3[[#This Row],[Nit]],Hoja2!A433:A1856,Hoja2!C433:C1856)</f>
        <v>1000000</v>
      </c>
      <c r="I433" s="1">
        <f>_xlfn.XLOOKUP(Tabla3[[#This Row],[Cliente]],'[1]Datos Contacto'!$A$2:$A$23,'[1]Datos Contacto'!$E$2:$E$23,0,0,1)</f>
        <v>0</v>
      </c>
    </row>
    <row r="434" spans="1:9" x14ac:dyDescent="0.25">
      <c r="A434" s="1">
        <v>1007071498</v>
      </c>
      <c r="B434" s="1" t="s">
        <v>449</v>
      </c>
      <c r="C434" s="1"/>
      <c r="D434" s="21" t="s">
        <v>1225</v>
      </c>
      <c r="E434" s="1" t="s">
        <v>9</v>
      </c>
      <c r="F434" s="1" t="s">
        <v>1226</v>
      </c>
      <c r="G434" s="1" t="s">
        <v>15</v>
      </c>
      <c r="H434" s="9">
        <f>_xlfn.XLOOKUP(Tabla3[[#This Row],[Nit]],Hoja2!A434:A1857,Hoja2!C434:C1857)</f>
        <v>1000000</v>
      </c>
      <c r="I434" s="1">
        <f>_xlfn.XLOOKUP(Tabla3[[#This Row],[Cliente]],'[1]Datos Contacto'!$A$2:$A$23,'[1]Datos Contacto'!$E$2:$E$23,0,0,1)</f>
        <v>0</v>
      </c>
    </row>
    <row r="435" spans="1:9" x14ac:dyDescent="0.25">
      <c r="A435" s="1">
        <v>393</v>
      </c>
      <c r="B435" s="1" t="s">
        <v>450</v>
      </c>
      <c r="C435" s="1"/>
      <c r="D435" s="21" t="s">
        <v>1225</v>
      </c>
      <c r="E435" s="1" t="s">
        <v>9</v>
      </c>
      <c r="F435" s="1" t="s">
        <v>1226</v>
      </c>
      <c r="G435" s="1" t="s">
        <v>11</v>
      </c>
      <c r="H435" s="9">
        <f>_xlfn.XLOOKUP(Tabla3[[#This Row],[Nit]],Hoja2!A435:A1858,Hoja2!C435:C1858)</f>
        <v>1000000</v>
      </c>
      <c r="I435" s="1">
        <f>_xlfn.XLOOKUP(Tabla3[[#This Row],[Cliente]],'[1]Datos Contacto'!$A$2:$A$23,'[1]Datos Contacto'!$E$2:$E$23,0,0,1)</f>
        <v>0</v>
      </c>
    </row>
    <row r="436" spans="1:9" x14ac:dyDescent="0.25">
      <c r="A436" s="1">
        <v>80443136</v>
      </c>
      <c r="B436" s="1" t="s">
        <v>451</v>
      </c>
      <c r="C436" s="1"/>
      <c r="D436" s="21" t="s">
        <v>1225</v>
      </c>
      <c r="E436" s="1" t="s">
        <v>9</v>
      </c>
      <c r="F436" s="1" t="s">
        <v>1226</v>
      </c>
      <c r="G436" s="1" t="s">
        <v>11</v>
      </c>
      <c r="H436" s="9">
        <f>_xlfn.XLOOKUP(Tabla3[[#This Row],[Nit]],Hoja2!A436:A1859,Hoja2!C436:C1859)</f>
        <v>1000000</v>
      </c>
      <c r="I436" s="1">
        <f>_xlfn.XLOOKUP(Tabla3[[#This Row],[Cliente]],'[1]Datos Contacto'!$A$2:$A$23,'[1]Datos Contacto'!$E$2:$E$23,0,0,1)</f>
        <v>0</v>
      </c>
    </row>
    <row r="437" spans="1:9" x14ac:dyDescent="0.25">
      <c r="A437" s="1">
        <v>1020764861</v>
      </c>
      <c r="B437" s="1" t="s">
        <v>452</v>
      </c>
      <c r="C437" s="1"/>
      <c r="D437" s="21" t="s">
        <v>1225</v>
      </c>
      <c r="E437" s="1" t="s">
        <v>9</v>
      </c>
      <c r="F437" s="1" t="s">
        <v>1226</v>
      </c>
      <c r="G437" s="1" t="s">
        <v>15</v>
      </c>
      <c r="H437" s="9">
        <f>_xlfn.XLOOKUP(Tabla3[[#This Row],[Nit]],Hoja2!A437:A1860,Hoja2!C437:C1860)</f>
        <v>1000000</v>
      </c>
      <c r="I437" s="1">
        <f>_xlfn.XLOOKUP(Tabla3[[#This Row],[Cliente]],'[1]Datos Contacto'!$A$2:$A$23,'[1]Datos Contacto'!$E$2:$E$23,0,0,1)</f>
        <v>0</v>
      </c>
    </row>
    <row r="438" spans="1:9" x14ac:dyDescent="0.25">
      <c r="A438" s="1">
        <v>79134459</v>
      </c>
      <c r="B438" s="1" t="s">
        <v>453</v>
      </c>
      <c r="C438" s="1"/>
      <c r="D438" s="21" t="s">
        <v>1225</v>
      </c>
      <c r="E438" s="1" t="s">
        <v>9</v>
      </c>
      <c r="F438" s="1" t="s">
        <v>1226</v>
      </c>
      <c r="G438" s="1" t="s">
        <v>15</v>
      </c>
      <c r="H438" s="9">
        <f>_xlfn.XLOOKUP(Tabla3[[#This Row],[Nit]],Hoja2!A438:A1861,Hoja2!C438:C1861)</f>
        <v>1000000</v>
      </c>
      <c r="I438" s="1">
        <f>_xlfn.XLOOKUP(Tabla3[[#This Row],[Cliente]],'[1]Datos Contacto'!$A$2:$A$23,'[1]Datos Contacto'!$E$2:$E$23,0,0,1)</f>
        <v>0</v>
      </c>
    </row>
    <row r="439" spans="1:9" x14ac:dyDescent="0.25">
      <c r="A439" s="1">
        <v>1022354357</v>
      </c>
      <c r="B439" s="1" t="s">
        <v>454</v>
      </c>
      <c r="C439" s="1"/>
      <c r="D439" s="21" t="s">
        <v>1225</v>
      </c>
      <c r="E439" s="1" t="s">
        <v>9</v>
      </c>
      <c r="F439" s="1" t="s">
        <v>1226</v>
      </c>
      <c r="G439" s="1" t="s">
        <v>11</v>
      </c>
      <c r="H439" s="9">
        <f>_xlfn.XLOOKUP(Tabla3[[#This Row],[Nit]],Hoja2!A439:A1862,Hoja2!C439:C1862)</f>
        <v>1000000</v>
      </c>
      <c r="I439" s="1">
        <f>_xlfn.XLOOKUP(Tabla3[[#This Row],[Cliente]],'[1]Datos Contacto'!$A$2:$A$23,'[1]Datos Contacto'!$E$2:$E$23,0,0,1)</f>
        <v>0</v>
      </c>
    </row>
    <row r="440" spans="1:9" x14ac:dyDescent="0.25">
      <c r="A440" s="1">
        <v>79110716</v>
      </c>
      <c r="B440" s="1" t="s">
        <v>455</v>
      </c>
      <c r="C440" s="1"/>
      <c r="D440" s="21" t="s">
        <v>1225</v>
      </c>
      <c r="E440" s="1" t="s">
        <v>9</v>
      </c>
      <c r="F440" s="1" t="s">
        <v>1226</v>
      </c>
      <c r="G440" s="1" t="s">
        <v>15</v>
      </c>
      <c r="H440" s="9">
        <f>_xlfn.XLOOKUP(Tabla3[[#This Row],[Nit]],Hoja2!A440:A1863,Hoja2!C440:C1863)</f>
        <v>1000000</v>
      </c>
      <c r="I440" s="1">
        <f>_xlfn.XLOOKUP(Tabla3[[#This Row],[Cliente]],'[1]Datos Contacto'!$A$2:$A$23,'[1]Datos Contacto'!$E$2:$E$23,0,0,1)</f>
        <v>0</v>
      </c>
    </row>
    <row r="441" spans="1:9" x14ac:dyDescent="0.25">
      <c r="A441" s="1">
        <v>360</v>
      </c>
      <c r="B441" s="1" t="s">
        <v>456</v>
      </c>
      <c r="C441" s="1"/>
      <c r="D441" s="21" t="s">
        <v>1225</v>
      </c>
      <c r="E441" s="1" t="s">
        <v>9</v>
      </c>
      <c r="F441" s="1" t="s">
        <v>1226</v>
      </c>
      <c r="G441" s="1" t="s">
        <v>11</v>
      </c>
      <c r="H441" s="9">
        <f>_xlfn.XLOOKUP(Tabla3[[#This Row],[Nit]],Hoja2!A441:A1864,Hoja2!C441:C1864)</f>
        <v>1000000</v>
      </c>
      <c r="I441" s="1">
        <f>_xlfn.XLOOKUP(Tabla3[[#This Row],[Cliente]],'[1]Datos Contacto'!$A$2:$A$23,'[1]Datos Contacto'!$E$2:$E$23,0,0,1)</f>
        <v>0</v>
      </c>
    </row>
    <row r="442" spans="1:9" x14ac:dyDescent="0.25">
      <c r="A442" s="1">
        <v>80814456</v>
      </c>
      <c r="B442" s="1" t="s">
        <v>457</v>
      </c>
      <c r="C442" s="1"/>
      <c r="D442" s="21" t="s">
        <v>1225</v>
      </c>
      <c r="E442" s="1" t="s">
        <v>9</v>
      </c>
      <c r="F442" s="1" t="s">
        <v>1226</v>
      </c>
      <c r="G442" s="1" t="s">
        <v>11</v>
      </c>
      <c r="H442" s="9">
        <f>_xlfn.XLOOKUP(Tabla3[[#This Row],[Nit]],Hoja2!A442:A1865,Hoja2!C442:C1865)</f>
        <v>1000000</v>
      </c>
      <c r="I442" s="1">
        <f>_xlfn.XLOOKUP(Tabla3[[#This Row],[Cliente]],'[1]Datos Contacto'!$A$2:$A$23,'[1]Datos Contacto'!$E$2:$E$23,0,0,1)</f>
        <v>0</v>
      </c>
    </row>
    <row r="443" spans="1:9" x14ac:dyDescent="0.25">
      <c r="A443" s="1">
        <v>700119915</v>
      </c>
      <c r="B443" s="1" t="s">
        <v>458</v>
      </c>
      <c r="C443" s="1"/>
      <c r="D443" s="21" t="s">
        <v>1225</v>
      </c>
      <c r="E443" s="1" t="s">
        <v>9</v>
      </c>
      <c r="F443" s="1" t="s">
        <v>1226</v>
      </c>
      <c r="G443" s="1" t="s">
        <v>20</v>
      </c>
      <c r="H443" s="9">
        <f>_xlfn.XLOOKUP(Tabla3[[#This Row],[Nit]],Hoja2!A443:A1866,Hoja2!C443:C1866)</f>
        <v>1000000</v>
      </c>
      <c r="I443" s="1">
        <f>_xlfn.XLOOKUP(Tabla3[[#This Row],[Cliente]],'[1]Datos Contacto'!$A$2:$A$23,'[1]Datos Contacto'!$E$2:$E$23,0,0,1)</f>
        <v>0</v>
      </c>
    </row>
    <row r="444" spans="1:9" x14ac:dyDescent="0.25">
      <c r="A444" s="1">
        <v>80155191</v>
      </c>
      <c r="B444" s="1" t="s">
        <v>459</v>
      </c>
      <c r="C444" s="1"/>
      <c r="D444" s="21" t="s">
        <v>1225</v>
      </c>
      <c r="E444" s="1" t="s">
        <v>9</v>
      </c>
      <c r="F444" s="1" t="s">
        <v>1226</v>
      </c>
      <c r="G444" s="1" t="s">
        <v>11</v>
      </c>
      <c r="H444" s="9">
        <f>_xlfn.XLOOKUP(Tabla3[[#This Row],[Nit]],Hoja2!A444:A1867,Hoja2!C444:C1867)</f>
        <v>1000000</v>
      </c>
      <c r="I444" s="1">
        <f>_xlfn.XLOOKUP(Tabla3[[#This Row],[Cliente]],'[1]Datos Contacto'!$A$2:$A$23,'[1]Datos Contacto'!$E$2:$E$23,0,0,1)</f>
        <v>0</v>
      </c>
    </row>
    <row r="445" spans="1:9" x14ac:dyDescent="0.25">
      <c r="A445" s="1">
        <v>1192757651</v>
      </c>
      <c r="B445" s="1" t="s">
        <v>460</v>
      </c>
      <c r="C445" s="1"/>
      <c r="D445" s="21" t="s">
        <v>1225</v>
      </c>
      <c r="E445" s="1" t="s">
        <v>9</v>
      </c>
      <c r="F445" s="1" t="s">
        <v>1226</v>
      </c>
      <c r="G445" s="1" t="s">
        <v>11</v>
      </c>
      <c r="H445" s="9">
        <f>_xlfn.XLOOKUP(Tabla3[[#This Row],[Nit]],Hoja2!A445:A1868,Hoja2!C445:C1868)</f>
        <v>1000000</v>
      </c>
      <c r="I445" s="1">
        <f>_xlfn.XLOOKUP(Tabla3[[#This Row],[Cliente]],'[1]Datos Contacto'!$A$2:$A$23,'[1]Datos Contacto'!$E$2:$E$23,0,0,1)</f>
        <v>0</v>
      </c>
    </row>
    <row r="446" spans="1:9" x14ac:dyDescent="0.25">
      <c r="A446" s="1">
        <v>17389704</v>
      </c>
      <c r="B446" s="1" t="s">
        <v>461</v>
      </c>
      <c r="C446" s="1"/>
      <c r="D446" s="21" t="s">
        <v>1225</v>
      </c>
      <c r="E446" s="1" t="s">
        <v>9</v>
      </c>
      <c r="F446" s="1" t="s">
        <v>1226</v>
      </c>
      <c r="G446" s="1" t="s">
        <v>15</v>
      </c>
      <c r="H446" s="9">
        <f>_xlfn.XLOOKUP(Tabla3[[#This Row],[Nit]],Hoja2!A446:A1869,Hoja2!C446:C1869)</f>
        <v>1000000</v>
      </c>
      <c r="I446" s="1">
        <f>_xlfn.XLOOKUP(Tabla3[[#This Row],[Cliente]],'[1]Datos Contacto'!$A$2:$A$23,'[1]Datos Contacto'!$E$2:$E$23,0,0,1)</f>
        <v>0</v>
      </c>
    </row>
    <row r="447" spans="1:9" x14ac:dyDescent="0.25">
      <c r="A447" s="1">
        <v>4291003</v>
      </c>
      <c r="B447" s="1" t="s">
        <v>462</v>
      </c>
      <c r="C447" s="1"/>
      <c r="D447" s="21" t="s">
        <v>1225</v>
      </c>
      <c r="E447" s="1" t="s">
        <v>9</v>
      </c>
      <c r="F447" s="1" t="s">
        <v>1226</v>
      </c>
      <c r="G447" s="1" t="s">
        <v>11</v>
      </c>
      <c r="H447" s="9">
        <f>_xlfn.XLOOKUP(Tabla3[[#This Row],[Nit]],Hoja2!A447:A1870,Hoja2!C447:C1870)</f>
        <v>1000000</v>
      </c>
      <c r="I447" s="1">
        <f>_xlfn.XLOOKUP(Tabla3[[#This Row],[Cliente]],'[1]Datos Contacto'!$A$2:$A$23,'[1]Datos Contacto'!$E$2:$E$23,0,0,1)</f>
        <v>0</v>
      </c>
    </row>
    <row r="448" spans="1:9" x14ac:dyDescent="0.25">
      <c r="A448" s="1">
        <v>2716065</v>
      </c>
      <c r="B448" s="1" t="s">
        <v>463</v>
      </c>
      <c r="C448" s="1"/>
      <c r="D448" s="21" t="s">
        <v>1225</v>
      </c>
      <c r="E448" s="1" t="s">
        <v>9</v>
      </c>
      <c r="F448" s="1" t="s">
        <v>1226</v>
      </c>
      <c r="G448" s="1" t="s">
        <v>36</v>
      </c>
      <c r="H448" s="9">
        <f>_xlfn.XLOOKUP(Tabla3[[#This Row],[Nit]],Hoja2!A448:A1871,Hoja2!C448:C1871)</f>
        <v>1000000</v>
      </c>
      <c r="I448" s="1">
        <f>_xlfn.XLOOKUP(Tabla3[[#This Row],[Cliente]],'[1]Datos Contacto'!$A$2:$A$23,'[1]Datos Contacto'!$E$2:$E$23,0,0,1)</f>
        <v>0</v>
      </c>
    </row>
    <row r="449" spans="1:9" x14ac:dyDescent="0.25">
      <c r="A449" s="1">
        <v>19446573</v>
      </c>
      <c r="B449" s="1" t="s">
        <v>464</v>
      </c>
      <c r="C449" s="1"/>
      <c r="D449" s="21" t="s">
        <v>1225</v>
      </c>
      <c r="E449" s="1" t="s">
        <v>9</v>
      </c>
      <c r="F449" s="1" t="s">
        <v>1226</v>
      </c>
      <c r="G449" s="1" t="s">
        <v>15</v>
      </c>
      <c r="H449" s="9">
        <f>_xlfn.XLOOKUP(Tabla3[[#This Row],[Nit]],Hoja2!A449:A1872,Hoja2!C449:C1872)</f>
        <v>1000000</v>
      </c>
      <c r="I449" s="1">
        <f>_xlfn.XLOOKUP(Tabla3[[#This Row],[Cliente]],'[1]Datos Contacto'!$A$2:$A$23,'[1]Datos Contacto'!$E$2:$E$23,0,0,1)</f>
        <v>0</v>
      </c>
    </row>
    <row r="450" spans="1:9" x14ac:dyDescent="0.25">
      <c r="A450" s="1">
        <v>1054916302</v>
      </c>
      <c r="B450" s="1" t="s">
        <v>465</v>
      </c>
      <c r="C450" s="1"/>
      <c r="D450" s="21" t="s">
        <v>1225</v>
      </c>
      <c r="E450" s="1" t="s">
        <v>9</v>
      </c>
      <c r="F450" s="1" t="s">
        <v>1226</v>
      </c>
      <c r="G450" s="1" t="s">
        <v>15</v>
      </c>
      <c r="H450" s="9">
        <f>_xlfn.XLOOKUP(Tabla3[[#This Row],[Nit]],Hoja2!A450:A1873,Hoja2!C450:C1873)</f>
        <v>0</v>
      </c>
      <c r="I450" s="1">
        <f>_xlfn.XLOOKUP(Tabla3[[#This Row],[Cliente]],'[1]Datos Contacto'!$A$2:$A$23,'[1]Datos Contacto'!$E$2:$E$23,0,0,1)</f>
        <v>0</v>
      </c>
    </row>
    <row r="451" spans="1:9" x14ac:dyDescent="0.25">
      <c r="A451" s="1">
        <v>169</v>
      </c>
      <c r="B451" s="1" t="s">
        <v>466</v>
      </c>
      <c r="C451" s="1"/>
      <c r="D451" s="21" t="s">
        <v>1225</v>
      </c>
      <c r="E451" s="1" t="s">
        <v>9</v>
      </c>
      <c r="F451" s="1" t="s">
        <v>1226</v>
      </c>
      <c r="G451" s="1" t="s">
        <v>11</v>
      </c>
      <c r="H451" s="9">
        <f>_xlfn.XLOOKUP(Tabla3[[#This Row],[Nit]],Hoja2!A451:A1874,Hoja2!C451:C1874)</f>
        <v>0</v>
      </c>
      <c r="I451" s="1">
        <f>_xlfn.XLOOKUP(Tabla3[[#This Row],[Cliente]],'[1]Datos Contacto'!$A$2:$A$23,'[1]Datos Contacto'!$E$2:$E$23,0,0,1)</f>
        <v>0</v>
      </c>
    </row>
    <row r="452" spans="1:9" x14ac:dyDescent="0.25">
      <c r="A452" s="1">
        <v>1012444808</v>
      </c>
      <c r="B452" s="1" t="s">
        <v>467</v>
      </c>
      <c r="C452" s="1"/>
      <c r="D452" s="21" t="s">
        <v>1225</v>
      </c>
      <c r="E452" s="1" t="s">
        <v>9</v>
      </c>
      <c r="F452" s="1" t="s">
        <v>1226</v>
      </c>
      <c r="G452" s="1" t="s">
        <v>11</v>
      </c>
      <c r="H452" s="9">
        <f>_xlfn.XLOOKUP(Tabla3[[#This Row],[Nit]],Hoja2!A452:A1875,Hoja2!C452:C1875)</f>
        <v>1000000</v>
      </c>
      <c r="I452" s="1">
        <f>_xlfn.XLOOKUP(Tabla3[[#This Row],[Cliente]],'[1]Datos Contacto'!$A$2:$A$23,'[1]Datos Contacto'!$E$2:$E$23,0,0,1)</f>
        <v>0</v>
      </c>
    </row>
    <row r="453" spans="1:9" x14ac:dyDescent="0.25">
      <c r="A453" s="1">
        <v>79598101</v>
      </c>
      <c r="B453" s="1" t="s">
        <v>468</v>
      </c>
      <c r="C453" s="1"/>
      <c r="D453" s="21" t="s">
        <v>1225</v>
      </c>
      <c r="E453" s="1" t="s">
        <v>9</v>
      </c>
      <c r="F453" s="1" t="s">
        <v>1226</v>
      </c>
      <c r="G453" s="1" t="s">
        <v>7</v>
      </c>
      <c r="H453" s="9">
        <f>_xlfn.XLOOKUP(Tabla3[[#This Row],[Nit]],Hoja2!A453:A1876,Hoja2!C453:C1876)</f>
        <v>1000000</v>
      </c>
      <c r="I453" s="1">
        <f>_xlfn.XLOOKUP(Tabla3[[#This Row],[Cliente]],'[1]Datos Contacto'!$A$2:$A$23,'[1]Datos Contacto'!$E$2:$E$23,0,0,1)</f>
        <v>0</v>
      </c>
    </row>
    <row r="454" spans="1:9" x14ac:dyDescent="0.25">
      <c r="A454" s="1">
        <v>1103364654</v>
      </c>
      <c r="B454" s="1" t="s">
        <v>469</v>
      </c>
      <c r="C454" s="1"/>
      <c r="D454" s="21" t="s">
        <v>1225</v>
      </c>
      <c r="E454" s="1" t="s">
        <v>9</v>
      </c>
      <c r="F454" s="1" t="s">
        <v>1226</v>
      </c>
      <c r="G454" s="1" t="s">
        <v>11</v>
      </c>
      <c r="H454" s="9">
        <f>_xlfn.XLOOKUP(Tabla3[[#This Row],[Nit]],Hoja2!A454:A1877,Hoja2!C454:C1877)</f>
        <v>3000000</v>
      </c>
      <c r="I454" s="1">
        <f>_xlfn.XLOOKUP(Tabla3[[#This Row],[Cliente]],'[1]Datos Contacto'!$A$2:$A$23,'[1]Datos Contacto'!$E$2:$E$23,0,0,1)</f>
        <v>0</v>
      </c>
    </row>
    <row r="455" spans="1:9" x14ac:dyDescent="0.25">
      <c r="A455" s="1">
        <v>9736863</v>
      </c>
      <c r="B455" s="1" t="s">
        <v>470</v>
      </c>
      <c r="C455" s="1"/>
      <c r="D455" s="21" t="s">
        <v>1225</v>
      </c>
      <c r="E455" s="1" t="s">
        <v>9</v>
      </c>
      <c r="F455" s="1" t="s">
        <v>1226</v>
      </c>
      <c r="G455" s="1" t="s">
        <v>11</v>
      </c>
      <c r="H455" s="9">
        <f>_xlfn.XLOOKUP(Tabla3[[#This Row],[Nit]],Hoja2!A455:A1878,Hoja2!C455:C1878)</f>
        <v>1000000</v>
      </c>
      <c r="I455" s="1">
        <f>_xlfn.XLOOKUP(Tabla3[[#This Row],[Cliente]],'[1]Datos Contacto'!$A$2:$A$23,'[1]Datos Contacto'!$E$2:$E$23,0,0,1)</f>
        <v>0</v>
      </c>
    </row>
    <row r="456" spans="1:9" x14ac:dyDescent="0.25">
      <c r="A456" s="1">
        <v>1019051425</v>
      </c>
      <c r="B456" s="1" t="s">
        <v>471</v>
      </c>
      <c r="C456" s="1"/>
      <c r="D456" s="21" t="s">
        <v>1225</v>
      </c>
      <c r="E456" s="1" t="s">
        <v>9</v>
      </c>
      <c r="F456" s="1" t="s">
        <v>1226</v>
      </c>
      <c r="G456" s="1" t="s">
        <v>7</v>
      </c>
      <c r="H456" s="9">
        <f>_xlfn.XLOOKUP(Tabla3[[#This Row],[Nit]],Hoja2!A456:A1879,Hoja2!C456:C1879)</f>
        <v>1000000</v>
      </c>
      <c r="I456" s="1">
        <f>_xlfn.XLOOKUP(Tabla3[[#This Row],[Cliente]],'[1]Datos Contacto'!$A$2:$A$23,'[1]Datos Contacto'!$E$2:$E$23,0,0,1)</f>
        <v>0</v>
      </c>
    </row>
    <row r="457" spans="1:9" x14ac:dyDescent="0.25">
      <c r="A457" s="1">
        <v>74243383</v>
      </c>
      <c r="B457" s="1" t="s">
        <v>472</v>
      </c>
      <c r="C457" s="1"/>
      <c r="D457" s="21" t="s">
        <v>1225</v>
      </c>
      <c r="E457" s="1" t="s">
        <v>9</v>
      </c>
      <c r="F457" s="1" t="s">
        <v>1226</v>
      </c>
      <c r="G457" s="1" t="s">
        <v>11</v>
      </c>
      <c r="H457" s="9">
        <f>_xlfn.XLOOKUP(Tabla3[[#This Row],[Nit]],Hoja2!A457:A1880,Hoja2!C457:C1880)</f>
        <v>1000000</v>
      </c>
      <c r="I457" s="1">
        <f>_xlfn.XLOOKUP(Tabla3[[#This Row],[Cliente]],'[1]Datos Contacto'!$A$2:$A$23,'[1]Datos Contacto'!$E$2:$E$23,0,0,1)</f>
        <v>0</v>
      </c>
    </row>
    <row r="458" spans="1:9" x14ac:dyDescent="0.25">
      <c r="A458" s="1">
        <v>79504622</v>
      </c>
      <c r="B458" s="1" t="s">
        <v>473</v>
      </c>
      <c r="C458" s="1"/>
      <c r="D458" s="21" t="s">
        <v>1225</v>
      </c>
      <c r="E458" s="1" t="s">
        <v>9</v>
      </c>
      <c r="F458" s="1" t="s">
        <v>1226</v>
      </c>
      <c r="G458" s="1" t="s">
        <v>48</v>
      </c>
      <c r="H458" s="9">
        <f>_xlfn.XLOOKUP(Tabla3[[#This Row],[Nit]],Hoja2!A458:A1881,Hoja2!C458:C1881)</f>
        <v>1000000</v>
      </c>
      <c r="I458" s="1">
        <f>_xlfn.XLOOKUP(Tabla3[[#This Row],[Cliente]],'[1]Datos Contacto'!$A$2:$A$23,'[1]Datos Contacto'!$E$2:$E$23,0,0,1)</f>
        <v>0</v>
      </c>
    </row>
    <row r="459" spans="1:9" x14ac:dyDescent="0.25">
      <c r="A459" s="1">
        <v>1020808452</v>
      </c>
      <c r="B459" s="1" t="s">
        <v>474</v>
      </c>
      <c r="C459" s="1"/>
      <c r="D459" s="21" t="s">
        <v>1225</v>
      </c>
      <c r="E459" s="1" t="s">
        <v>9</v>
      </c>
      <c r="F459" s="1" t="s">
        <v>1226</v>
      </c>
      <c r="G459" s="1" t="s">
        <v>15</v>
      </c>
      <c r="H459" s="9">
        <f>_xlfn.XLOOKUP(Tabla3[[#This Row],[Nit]],Hoja2!A459:A1882,Hoja2!C459:C1882)</f>
        <v>1000000</v>
      </c>
      <c r="I459" s="1">
        <f>_xlfn.XLOOKUP(Tabla3[[#This Row],[Cliente]],'[1]Datos Contacto'!$A$2:$A$23,'[1]Datos Contacto'!$E$2:$E$23,0,0,1)</f>
        <v>0</v>
      </c>
    </row>
    <row r="460" spans="1:9" x14ac:dyDescent="0.25">
      <c r="A460" s="1">
        <v>1121954833</v>
      </c>
      <c r="B460" s="1" t="s">
        <v>475</v>
      </c>
      <c r="C460" s="1"/>
      <c r="D460" s="21" t="s">
        <v>1225</v>
      </c>
      <c r="E460" s="1" t="s">
        <v>9</v>
      </c>
      <c r="F460" s="1" t="s">
        <v>1226</v>
      </c>
      <c r="G460" s="1" t="s">
        <v>15</v>
      </c>
      <c r="H460" s="9">
        <f>_xlfn.XLOOKUP(Tabla3[[#This Row],[Nit]],Hoja2!A460:A1883,Hoja2!C460:C1883)</f>
        <v>1000000</v>
      </c>
      <c r="I460" s="1">
        <f>_xlfn.XLOOKUP(Tabla3[[#This Row],[Cliente]],'[1]Datos Contacto'!$A$2:$A$23,'[1]Datos Contacto'!$E$2:$E$23,0,0,1)</f>
        <v>0</v>
      </c>
    </row>
    <row r="461" spans="1:9" x14ac:dyDescent="0.25">
      <c r="A461" s="1">
        <v>1020735646</v>
      </c>
      <c r="B461" s="1" t="s">
        <v>476</v>
      </c>
      <c r="C461" s="1"/>
      <c r="D461" s="21" t="s">
        <v>1225</v>
      </c>
      <c r="E461" s="1" t="s">
        <v>9</v>
      </c>
      <c r="F461" s="1" t="s">
        <v>1226</v>
      </c>
      <c r="G461" s="1" t="s">
        <v>15</v>
      </c>
      <c r="H461" s="9">
        <f>_xlfn.XLOOKUP(Tabla3[[#This Row],[Nit]],Hoja2!A461:A1884,Hoja2!C461:C1884)</f>
        <v>1000000</v>
      </c>
      <c r="I461" s="1">
        <f>_xlfn.XLOOKUP(Tabla3[[#This Row],[Cliente]],'[1]Datos Contacto'!$A$2:$A$23,'[1]Datos Contacto'!$E$2:$E$23,0,0,1)</f>
        <v>0</v>
      </c>
    </row>
    <row r="462" spans="1:9" x14ac:dyDescent="0.25">
      <c r="A462" s="1">
        <v>151</v>
      </c>
      <c r="B462" s="1" t="s">
        <v>477</v>
      </c>
      <c r="C462" s="1"/>
      <c r="D462" s="21" t="s">
        <v>1225</v>
      </c>
      <c r="E462" s="1" t="s">
        <v>9</v>
      </c>
      <c r="F462" s="1" t="s">
        <v>1226</v>
      </c>
      <c r="G462" s="1" t="s">
        <v>11</v>
      </c>
      <c r="H462" s="9">
        <f>_xlfn.XLOOKUP(Tabla3[[#This Row],[Nit]],Hoja2!A462:A1885,Hoja2!C462:C1885)</f>
        <v>1000000</v>
      </c>
      <c r="I462" s="1">
        <f>_xlfn.XLOOKUP(Tabla3[[#This Row],[Cliente]],'[1]Datos Contacto'!$A$2:$A$23,'[1]Datos Contacto'!$E$2:$E$23,0,0,1)</f>
        <v>0</v>
      </c>
    </row>
    <row r="463" spans="1:9" x14ac:dyDescent="0.25">
      <c r="A463" s="1">
        <v>900460708</v>
      </c>
      <c r="B463" s="1" t="s">
        <v>478</v>
      </c>
      <c r="C463" s="1"/>
      <c r="D463" s="21" t="s">
        <v>1225</v>
      </c>
      <c r="E463" s="1" t="s">
        <v>9</v>
      </c>
      <c r="F463" s="1" t="s">
        <v>1226</v>
      </c>
      <c r="G463" s="1" t="s">
        <v>11</v>
      </c>
      <c r="H463" s="9">
        <f>_xlfn.XLOOKUP(Tabla3[[#This Row],[Nit]],Hoja2!A463:A1886,Hoja2!C463:C1886)</f>
        <v>1000000</v>
      </c>
      <c r="I463" s="1">
        <f>_xlfn.XLOOKUP(Tabla3[[#This Row],[Cliente]],'[1]Datos Contacto'!$A$2:$A$23,'[1]Datos Contacto'!$E$2:$E$23,0,0,1)</f>
        <v>0</v>
      </c>
    </row>
    <row r="464" spans="1:9" x14ac:dyDescent="0.25">
      <c r="A464" s="1">
        <v>80096131</v>
      </c>
      <c r="B464" s="1" t="s">
        <v>479</v>
      </c>
      <c r="C464" s="1"/>
      <c r="D464" s="21" t="s">
        <v>1225</v>
      </c>
      <c r="E464" s="1" t="s">
        <v>9</v>
      </c>
      <c r="F464" s="1" t="s">
        <v>1226</v>
      </c>
      <c r="G464" s="1" t="s">
        <v>11</v>
      </c>
      <c r="H464" s="9">
        <f>_xlfn.XLOOKUP(Tabla3[[#This Row],[Nit]],Hoja2!A464:A1887,Hoja2!C464:C1887)</f>
        <v>1000000</v>
      </c>
      <c r="I464" s="1">
        <f>_xlfn.XLOOKUP(Tabla3[[#This Row],[Cliente]],'[1]Datos Contacto'!$A$2:$A$23,'[1]Datos Contacto'!$E$2:$E$23,0,0,1)</f>
        <v>0</v>
      </c>
    </row>
    <row r="465" spans="1:9" x14ac:dyDescent="0.25">
      <c r="A465" s="1">
        <v>1007729972</v>
      </c>
      <c r="B465" s="1" t="s">
        <v>480</v>
      </c>
      <c r="C465" s="1"/>
      <c r="D465" s="21" t="s">
        <v>1225</v>
      </c>
      <c r="E465" s="1" t="s">
        <v>9</v>
      </c>
      <c r="F465" s="1" t="s">
        <v>1226</v>
      </c>
      <c r="G465" s="1" t="s">
        <v>11</v>
      </c>
      <c r="H465" s="9">
        <f>_xlfn.XLOOKUP(Tabla3[[#This Row],[Nit]],Hoja2!A465:A1888,Hoja2!C465:C1888)</f>
        <v>1000000</v>
      </c>
      <c r="I465" s="1">
        <f>_xlfn.XLOOKUP(Tabla3[[#This Row],[Cliente]],'[1]Datos Contacto'!$A$2:$A$23,'[1]Datos Contacto'!$E$2:$E$23,0,0,1)</f>
        <v>0</v>
      </c>
    </row>
    <row r="466" spans="1:9" x14ac:dyDescent="0.25">
      <c r="A466" s="1">
        <v>1023364079</v>
      </c>
      <c r="B466" s="1" t="s">
        <v>481</v>
      </c>
      <c r="C466" s="1"/>
      <c r="D466" s="21" t="s">
        <v>1225</v>
      </c>
      <c r="E466" s="1" t="s">
        <v>9</v>
      </c>
      <c r="F466" s="1" t="s">
        <v>1226</v>
      </c>
      <c r="G466" s="1" t="s">
        <v>15</v>
      </c>
      <c r="H466" s="9">
        <f>_xlfn.XLOOKUP(Tabla3[[#This Row],[Nit]],Hoja2!A466:A1889,Hoja2!C466:C1889)</f>
        <v>1000000</v>
      </c>
      <c r="I466" s="1">
        <f>_xlfn.XLOOKUP(Tabla3[[#This Row],[Cliente]],'[1]Datos Contacto'!$A$2:$A$23,'[1]Datos Contacto'!$E$2:$E$23,0,0,1)</f>
        <v>0</v>
      </c>
    </row>
    <row r="467" spans="1:9" x14ac:dyDescent="0.25">
      <c r="A467" s="1">
        <v>79883488</v>
      </c>
      <c r="B467" s="1" t="s">
        <v>482</v>
      </c>
      <c r="C467" s="1"/>
      <c r="D467" s="21" t="s">
        <v>1225</v>
      </c>
      <c r="E467" s="1" t="s">
        <v>9</v>
      </c>
      <c r="F467" s="1" t="s">
        <v>1226</v>
      </c>
      <c r="G467" s="1" t="s">
        <v>15</v>
      </c>
      <c r="H467" s="9">
        <f>_xlfn.XLOOKUP(Tabla3[[#This Row],[Nit]],Hoja2!A467:A1890,Hoja2!C467:C1890)</f>
        <v>1000000</v>
      </c>
      <c r="I467" s="1">
        <f>_xlfn.XLOOKUP(Tabla3[[#This Row],[Cliente]],'[1]Datos Contacto'!$A$2:$A$23,'[1]Datos Contacto'!$E$2:$E$23,0,0,1)</f>
        <v>0</v>
      </c>
    </row>
    <row r="468" spans="1:9" x14ac:dyDescent="0.25">
      <c r="A468" s="1">
        <v>52282004</v>
      </c>
      <c r="B468" s="1" t="s">
        <v>483</v>
      </c>
      <c r="C468" s="1"/>
      <c r="D468" s="21" t="s">
        <v>1225</v>
      </c>
      <c r="E468" s="1" t="s">
        <v>9</v>
      </c>
      <c r="F468" s="1" t="s">
        <v>1226</v>
      </c>
      <c r="G468" s="1" t="s">
        <v>11</v>
      </c>
      <c r="H468" s="9">
        <f>_xlfn.XLOOKUP(Tabla3[[#This Row],[Nit]],Hoja2!A468:A1891,Hoja2!C468:C1891)</f>
        <v>1000000</v>
      </c>
      <c r="I468" s="1">
        <f>_xlfn.XLOOKUP(Tabla3[[#This Row],[Cliente]],'[1]Datos Contacto'!$A$2:$A$23,'[1]Datos Contacto'!$E$2:$E$23,0,0,1)</f>
        <v>0</v>
      </c>
    </row>
    <row r="469" spans="1:9" x14ac:dyDescent="0.25">
      <c r="A469" s="1">
        <v>1144044719</v>
      </c>
      <c r="B469" s="1" t="s">
        <v>484</v>
      </c>
      <c r="C469" s="1"/>
      <c r="D469" s="21" t="s">
        <v>1225</v>
      </c>
      <c r="E469" s="1" t="s">
        <v>9</v>
      </c>
      <c r="F469" s="1" t="s">
        <v>1226</v>
      </c>
      <c r="G469" s="1" t="s">
        <v>7</v>
      </c>
      <c r="H469" s="9">
        <f>_xlfn.XLOOKUP(Tabla3[[#This Row],[Nit]],Hoja2!A469:A1892,Hoja2!C469:C1892)</f>
        <v>1000000</v>
      </c>
      <c r="I469" s="1">
        <f>_xlfn.XLOOKUP(Tabla3[[#This Row],[Cliente]],'[1]Datos Contacto'!$A$2:$A$23,'[1]Datos Contacto'!$E$2:$E$23,0,0,1)</f>
        <v>0</v>
      </c>
    </row>
    <row r="470" spans="1:9" x14ac:dyDescent="0.25">
      <c r="A470" s="1">
        <v>389</v>
      </c>
      <c r="B470" s="1" t="s">
        <v>485</v>
      </c>
      <c r="C470" s="1"/>
      <c r="D470" s="21" t="s">
        <v>1225</v>
      </c>
      <c r="E470" s="1" t="s">
        <v>9</v>
      </c>
      <c r="F470" s="1" t="s">
        <v>1226</v>
      </c>
      <c r="G470" s="1" t="s">
        <v>11</v>
      </c>
      <c r="H470" s="9">
        <f>_xlfn.XLOOKUP(Tabla3[[#This Row],[Nit]],Hoja2!A470:A1893,Hoja2!C470:C1893)</f>
        <v>1000000</v>
      </c>
      <c r="I470" s="1">
        <f>_xlfn.XLOOKUP(Tabla3[[#This Row],[Cliente]],'[1]Datos Contacto'!$A$2:$A$23,'[1]Datos Contacto'!$E$2:$E$23,0,0,1)</f>
        <v>0</v>
      </c>
    </row>
    <row r="471" spans="1:9" x14ac:dyDescent="0.25">
      <c r="A471" s="1">
        <v>385</v>
      </c>
      <c r="B471" s="1" t="s">
        <v>486</v>
      </c>
      <c r="C471" s="1"/>
      <c r="D471" s="21" t="s">
        <v>1225</v>
      </c>
      <c r="E471" s="1" t="s">
        <v>9</v>
      </c>
      <c r="F471" s="1" t="s">
        <v>1226</v>
      </c>
      <c r="G471" s="1" t="s">
        <v>11</v>
      </c>
      <c r="H471" s="9">
        <f>_xlfn.XLOOKUP(Tabla3[[#This Row],[Nit]],Hoja2!A471:A1894,Hoja2!C471:C1894)</f>
        <v>1000000</v>
      </c>
      <c r="I471" s="1">
        <f>_xlfn.XLOOKUP(Tabla3[[#This Row],[Cliente]],'[1]Datos Contacto'!$A$2:$A$23,'[1]Datos Contacto'!$E$2:$E$23,0,0,1)</f>
        <v>0</v>
      </c>
    </row>
    <row r="472" spans="1:9" x14ac:dyDescent="0.25">
      <c r="A472" s="1">
        <v>900811378</v>
      </c>
      <c r="B472" s="1" t="s">
        <v>487</v>
      </c>
      <c r="C472" s="1"/>
      <c r="D472" s="21" t="s">
        <v>1225</v>
      </c>
      <c r="E472" s="1" t="s">
        <v>9</v>
      </c>
      <c r="F472" s="1" t="s">
        <v>1226</v>
      </c>
      <c r="G472" s="1" t="s">
        <v>7</v>
      </c>
      <c r="H472" s="9">
        <f>_xlfn.XLOOKUP(Tabla3[[#This Row],[Nit]],Hoja2!A472:A1895,Hoja2!C472:C1895)</f>
        <v>70000000</v>
      </c>
      <c r="I472" s="1">
        <f>_xlfn.XLOOKUP(Tabla3[[#This Row],[Cliente]],'[1]Datos Contacto'!$A$2:$A$23,'[1]Datos Contacto'!$E$2:$E$23,0,0,1)</f>
        <v>0</v>
      </c>
    </row>
    <row r="473" spans="1:9" x14ac:dyDescent="0.25">
      <c r="A473" s="1">
        <v>900483069</v>
      </c>
      <c r="B473" s="1" t="s">
        <v>488</v>
      </c>
      <c r="C473" s="1"/>
      <c r="D473" s="21" t="s">
        <v>1225</v>
      </c>
      <c r="E473" s="1" t="s">
        <v>79</v>
      </c>
      <c r="F473" s="1" t="s">
        <v>1226</v>
      </c>
      <c r="G473" s="1" t="s">
        <v>7</v>
      </c>
      <c r="H473" s="9">
        <f>_xlfn.XLOOKUP(Tabla3[[#This Row],[Nit]],Hoja2!A473:A1896,Hoja2!C473:C1896)</f>
        <v>70000000</v>
      </c>
      <c r="I473" s="1">
        <f>_xlfn.XLOOKUP(Tabla3[[#This Row],[Cliente]],'[1]Datos Contacto'!$A$2:$A$23,'[1]Datos Contacto'!$E$2:$E$23,0,0,1)</f>
        <v>0</v>
      </c>
    </row>
    <row r="474" spans="1:9" x14ac:dyDescent="0.25">
      <c r="A474" s="1">
        <v>901614782</v>
      </c>
      <c r="B474" s="1" t="s">
        <v>489</v>
      </c>
      <c r="C474" s="1"/>
      <c r="D474" s="21" t="s">
        <v>1225</v>
      </c>
      <c r="E474" s="1" t="s">
        <v>6</v>
      </c>
      <c r="F474" s="1" t="s">
        <v>1226</v>
      </c>
      <c r="G474" s="1" t="s">
        <v>7</v>
      </c>
      <c r="H474" s="9">
        <f>_xlfn.XLOOKUP(Tabla3[[#This Row],[Nit]],Hoja2!A474:A1897,Hoja2!C474:C1897)</f>
        <v>10000000</v>
      </c>
      <c r="I474" s="1">
        <f>_xlfn.XLOOKUP(Tabla3[[#This Row],[Cliente]],'[1]Datos Contacto'!$A$2:$A$23,'[1]Datos Contacto'!$E$2:$E$23,0,0,1)</f>
        <v>0</v>
      </c>
    </row>
    <row r="475" spans="1:9" x14ac:dyDescent="0.25">
      <c r="A475" s="1">
        <v>901150256</v>
      </c>
      <c r="B475" s="1" t="s">
        <v>490</v>
      </c>
      <c r="C475" s="1"/>
      <c r="D475" s="21" t="s">
        <v>1225</v>
      </c>
      <c r="E475" s="1" t="s">
        <v>6</v>
      </c>
      <c r="F475" s="1" t="s">
        <v>1226</v>
      </c>
      <c r="G475" s="1" t="s">
        <v>7</v>
      </c>
      <c r="H475" s="9">
        <f>_xlfn.XLOOKUP(Tabla3[[#This Row],[Nit]],Hoja2!A475:A1898,Hoja2!C475:C1898)</f>
        <v>60000000</v>
      </c>
      <c r="I475" s="1">
        <f>_xlfn.XLOOKUP(Tabla3[[#This Row],[Cliente]],'[1]Datos Contacto'!$A$2:$A$23,'[1]Datos Contacto'!$E$2:$E$23,0,0,1)</f>
        <v>0</v>
      </c>
    </row>
    <row r="476" spans="1:9" x14ac:dyDescent="0.25">
      <c r="A476" s="1">
        <v>830135186</v>
      </c>
      <c r="B476" s="2" t="s">
        <v>491</v>
      </c>
      <c r="C476" s="1"/>
      <c r="D476" s="21" t="s">
        <v>1225</v>
      </c>
      <c r="E476" s="1" t="s">
        <v>79</v>
      </c>
      <c r="F476" s="1" t="s">
        <v>1226</v>
      </c>
      <c r="G476" s="1" t="s">
        <v>7</v>
      </c>
      <c r="H476" s="9">
        <f>_xlfn.XLOOKUP(Tabla3[[#This Row],[Nit]],Hoja2!A476:A1899,Hoja2!C476:C1899)</f>
        <v>20000000</v>
      </c>
      <c r="I476" s="1">
        <f>_xlfn.XLOOKUP(Tabla3[[#This Row],[Cliente]],'[1]Datos Contacto'!$A$2:$A$23,'[1]Datos Contacto'!$E$2:$E$23,0,0,1)</f>
        <v>0</v>
      </c>
    </row>
    <row r="477" spans="1:9" x14ac:dyDescent="0.25">
      <c r="A477" s="1">
        <v>901043686</v>
      </c>
      <c r="B477" s="1" t="s">
        <v>492</v>
      </c>
      <c r="C477" s="1"/>
      <c r="D477" s="21" t="s">
        <v>1225</v>
      </c>
      <c r="E477" s="1" t="s">
        <v>6</v>
      </c>
      <c r="F477" s="1" t="s">
        <v>1226</v>
      </c>
      <c r="G477" s="1" t="s">
        <v>7</v>
      </c>
      <c r="H477" s="9">
        <f>_xlfn.XLOOKUP(Tabla3[[#This Row],[Nit]],Hoja2!A477:A1900,Hoja2!C477:C1900)</f>
        <v>10000000</v>
      </c>
      <c r="I477" s="1">
        <f>_xlfn.XLOOKUP(Tabla3[[#This Row],[Cliente]],'[1]Datos Contacto'!$A$2:$A$23,'[1]Datos Contacto'!$E$2:$E$23,0,0,1)</f>
        <v>0</v>
      </c>
    </row>
    <row r="478" spans="1:9" x14ac:dyDescent="0.25">
      <c r="A478" s="1">
        <v>816002230</v>
      </c>
      <c r="B478" s="1" t="s">
        <v>493</v>
      </c>
      <c r="C478" s="1"/>
      <c r="D478" s="21" t="s">
        <v>1225</v>
      </c>
      <c r="E478" s="1" t="s">
        <v>9</v>
      </c>
      <c r="F478" s="1" t="s">
        <v>1226</v>
      </c>
      <c r="G478" s="1" t="s">
        <v>36</v>
      </c>
      <c r="H478" s="9">
        <f>_xlfn.XLOOKUP(Tabla3[[#This Row],[Nit]],Hoja2!A478:A1901,Hoja2!C478:C1901)</f>
        <v>1000000</v>
      </c>
      <c r="I478" s="1">
        <f>_xlfn.XLOOKUP(Tabla3[[#This Row],[Cliente]],'[1]Datos Contacto'!$A$2:$A$23,'[1]Datos Contacto'!$E$2:$E$23,0,0,1)</f>
        <v>0</v>
      </c>
    </row>
    <row r="479" spans="1:9" x14ac:dyDescent="0.25">
      <c r="A479" s="1">
        <v>860078767</v>
      </c>
      <c r="B479" s="1" t="s">
        <v>494</v>
      </c>
      <c r="C479" s="1"/>
      <c r="D479" s="21" t="s">
        <v>1225</v>
      </c>
      <c r="E479" s="1" t="s">
        <v>9</v>
      </c>
      <c r="F479" s="1" t="s">
        <v>1226</v>
      </c>
      <c r="G479" s="1" t="s">
        <v>7</v>
      </c>
      <c r="H479" s="9">
        <f>_xlfn.XLOOKUP(Tabla3[[#This Row],[Nit]],Hoja2!A479:A1902,Hoja2!C479:C1902)</f>
        <v>1000000</v>
      </c>
      <c r="I479" s="1">
        <f>_xlfn.XLOOKUP(Tabla3[[#This Row],[Cliente]],'[1]Datos Contacto'!$A$2:$A$23,'[1]Datos Contacto'!$E$2:$E$23,0,0,1)</f>
        <v>0</v>
      </c>
    </row>
    <row r="480" spans="1:9" x14ac:dyDescent="0.25">
      <c r="A480" s="1">
        <v>418</v>
      </c>
      <c r="B480" s="1" t="s">
        <v>495</v>
      </c>
      <c r="C480" s="1"/>
      <c r="D480" s="21" t="s">
        <v>1225</v>
      </c>
      <c r="E480" s="1" t="s">
        <v>9</v>
      </c>
      <c r="F480" s="1" t="s">
        <v>1226</v>
      </c>
      <c r="G480" s="1" t="s">
        <v>7</v>
      </c>
      <c r="H480" s="9">
        <f>_xlfn.XLOOKUP(Tabla3[[#This Row],[Nit]],Hoja2!A480:A1903,Hoja2!C480:C1903)</f>
        <v>1000000</v>
      </c>
      <c r="I480" s="1">
        <f>_xlfn.XLOOKUP(Tabla3[[#This Row],[Cliente]],'[1]Datos Contacto'!$A$2:$A$23,'[1]Datos Contacto'!$E$2:$E$23,0,0,1)</f>
        <v>0</v>
      </c>
    </row>
    <row r="481" spans="1:9" x14ac:dyDescent="0.25">
      <c r="A481" s="1">
        <v>901254059</v>
      </c>
      <c r="B481" s="1" t="s">
        <v>496</v>
      </c>
      <c r="C481" s="1"/>
      <c r="D481" s="21" t="s">
        <v>1225</v>
      </c>
      <c r="E481" s="1" t="s">
        <v>9</v>
      </c>
      <c r="F481" s="1" t="s">
        <v>1226</v>
      </c>
      <c r="G481" s="1" t="s">
        <v>7</v>
      </c>
      <c r="H481" s="9">
        <f>_xlfn.XLOOKUP(Tabla3[[#This Row],[Nit]],Hoja2!A481:A1904,Hoja2!C481:C1904)</f>
        <v>1000000</v>
      </c>
      <c r="I481" s="1">
        <f>_xlfn.XLOOKUP(Tabla3[[#This Row],[Cliente]],'[1]Datos Contacto'!$A$2:$A$23,'[1]Datos Contacto'!$E$2:$E$23,0,0,1)</f>
        <v>0</v>
      </c>
    </row>
    <row r="482" spans="1:9" x14ac:dyDescent="0.25">
      <c r="A482" s="1">
        <v>1020748619</v>
      </c>
      <c r="B482" s="1" t="s">
        <v>497</v>
      </c>
      <c r="C482" s="1"/>
      <c r="D482" s="21" t="s">
        <v>1225</v>
      </c>
      <c r="E482" s="1" t="s">
        <v>9</v>
      </c>
      <c r="F482" s="1" t="s">
        <v>1226</v>
      </c>
      <c r="G482" s="1" t="s">
        <v>48</v>
      </c>
      <c r="H482" s="9">
        <f>_xlfn.XLOOKUP(Tabla3[[#This Row],[Nit]],Hoja2!A482:A1905,Hoja2!C482:C1905)</f>
        <v>1000000</v>
      </c>
      <c r="I482" s="1">
        <f>_xlfn.XLOOKUP(Tabla3[[#This Row],[Cliente]],'[1]Datos Contacto'!$A$2:$A$23,'[1]Datos Contacto'!$E$2:$E$23,0,0,1)</f>
        <v>0</v>
      </c>
    </row>
    <row r="483" spans="1:9" x14ac:dyDescent="0.25">
      <c r="A483" s="1">
        <v>1026598717</v>
      </c>
      <c r="B483" s="1" t="s">
        <v>498</v>
      </c>
      <c r="C483" s="1"/>
      <c r="D483" s="21" t="s">
        <v>1225</v>
      </c>
      <c r="E483" s="1" t="s">
        <v>9</v>
      </c>
      <c r="F483" s="1" t="s">
        <v>1226</v>
      </c>
      <c r="G483" s="1" t="s">
        <v>15</v>
      </c>
      <c r="H483" s="9">
        <f>_xlfn.XLOOKUP(Tabla3[[#This Row],[Nit]],Hoja2!A483:A1906,Hoja2!C483:C1906)</f>
        <v>1000000</v>
      </c>
      <c r="I483" s="1">
        <f>_xlfn.XLOOKUP(Tabla3[[#This Row],[Cliente]],'[1]Datos Contacto'!$A$2:$A$23,'[1]Datos Contacto'!$E$2:$E$23,0,0,1)</f>
        <v>0</v>
      </c>
    </row>
    <row r="484" spans="1:9" x14ac:dyDescent="0.25">
      <c r="A484" s="1">
        <v>1000185061</v>
      </c>
      <c r="B484" s="1" t="s">
        <v>499</v>
      </c>
      <c r="C484" s="1"/>
      <c r="D484" s="21" t="s">
        <v>1225</v>
      </c>
      <c r="E484" s="1" t="s">
        <v>79</v>
      </c>
      <c r="F484" s="1" t="s">
        <v>1226</v>
      </c>
      <c r="G484" s="1" t="s">
        <v>11</v>
      </c>
      <c r="H484" s="9">
        <f>_xlfn.XLOOKUP(Tabla3[[#This Row],[Nit]],Hoja2!A484:A1907,Hoja2!C484:C1907)</f>
        <v>1000000</v>
      </c>
      <c r="I484" s="1">
        <f>_xlfn.XLOOKUP(Tabla3[[#This Row],[Cliente]],'[1]Datos Contacto'!$A$2:$A$23,'[1]Datos Contacto'!$E$2:$E$23,0,0,1)</f>
        <v>0</v>
      </c>
    </row>
    <row r="485" spans="1:9" x14ac:dyDescent="0.25">
      <c r="A485" s="1">
        <v>53061512</v>
      </c>
      <c r="B485" s="1" t="s">
        <v>500</v>
      </c>
      <c r="C485" s="1"/>
      <c r="D485" s="21" t="s">
        <v>1225</v>
      </c>
      <c r="E485" s="1" t="s">
        <v>9</v>
      </c>
      <c r="F485" s="1" t="s">
        <v>1226</v>
      </c>
      <c r="G485" s="1" t="s">
        <v>48</v>
      </c>
      <c r="H485" s="9">
        <f>_xlfn.XLOOKUP(Tabla3[[#This Row],[Nit]],Hoja2!A485:A1908,Hoja2!C485:C1908)</f>
        <v>1000000</v>
      </c>
      <c r="I485" s="1">
        <f>_xlfn.XLOOKUP(Tabla3[[#This Row],[Cliente]],'[1]Datos Contacto'!$A$2:$A$23,'[1]Datos Contacto'!$E$2:$E$23,0,0,1)</f>
        <v>0</v>
      </c>
    </row>
    <row r="486" spans="1:9" x14ac:dyDescent="0.25">
      <c r="A486" s="1">
        <v>79526456</v>
      </c>
      <c r="B486" s="1" t="s">
        <v>501</v>
      </c>
      <c r="C486" s="1"/>
      <c r="D486" s="21" t="s">
        <v>1225</v>
      </c>
      <c r="E486" s="1" t="s">
        <v>9</v>
      </c>
      <c r="F486" s="1" t="s">
        <v>1226</v>
      </c>
      <c r="G486" s="1" t="s">
        <v>11</v>
      </c>
      <c r="H486" s="9">
        <f>_xlfn.XLOOKUP(Tabla3[[#This Row],[Nit]],Hoja2!A486:A1909,Hoja2!C486:C1909)</f>
        <v>1000000</v>
      </c>
      <c r="I486" s="1">
        <f>_xlfn.XLOOKUP(Tabla3[[#This Row],[Cliente]],'[1]Datos Contacto'!$A$2:$A$23,'[1]Datos Contacto'!$E$2:$E$23,0,0,1)</f>
        <v>0</v>
      </c>
    </row>
    <row r="487" spans="1:9" x14ac:dyDescent="0.25">
      <c r="A487" s="1">
        <v>900511756</v>
      </c>
      <c r="B487" s="1" t="s">
        <v>502</v>
      </c>
      <c r="C487" s="1"/>
      <c r="D487" s="21" t="s">
        <v>1225</v>
      </c>
      <c r="E487" s="1" t="s">
        <v>6</v>
      </c>
      <c r="F487" s="1" t="s">
        <v>1226</v>
      </c>
      <c r="G487" s="1" t="s">
        <v>7</v>
      </c>
      <c r="H487" s="9">
        <f>_xlfn.XLOOKUP(Tabla3[[#This Row],[Nit]],Hoja2!A487:A1910,Hoja2!C487:C1910)</f>
        <v>30000000</v>
      </c>
      <c r="I487" s="1">
        <f>_xlfn.XLOOKUP(Tabla3[[#This Row],[Cliente]],'[1]Datos Contacto'!$A$2:$A$23,'[1]Datos Contacto'!$E$2:$E$23,0,0,1)</f>
        <v>0</v>
      </c>
    </row>
    <row r="488" spans="1:9" x14ac:dyDescent="0.25">
      <c r="A488" s="1">
        <v>901390807</v>
      </c>
      <c r="B488" s="1" t="s">
        <v>503</v>
      </c>
      <c r="C488" s="1"/>
      <c r="D488" s="21" t="s">
        <v>1225</v>
      </c>
      <c r="E488" s="1" t="s">
        <v>9</v>
      </c>
      <c r="F488" s="1" t="s">
        <v>1226</v>
      </c>
      <c r="G488" s="1" t="s">
        <v>11</v>
      </c>
      <c r="H488" s="9">
        <f>_xlfn.XLOOKUP(Tabla3[[#This Row],[Nit]],Hoja2!A488:A1911,Hoja2!C488:C1911)</f>
        <v>1000000</v>
      </c>
      <c r="I488" s="1">
        <f>_xlfn.XLOOKUP(Tabla3[[#This Row],[Cliente]],'[1]Datos Contacto'!$A$2:$A$23,'[1]Datos Contacto'!$E$2:$E$23,0,0,1)</f>
        <v>0</v>
      </c>
    </row>
    <row r="489" spans="1:9" x14ac:dyDescent="0.25">
      <c r="A489" s="1">
        <v>79262921</v>
      </c>
      <c r="B489" s="1" t="s">
        <v>504</v>
      </c>
      <c r="C489" s="1"/>
      <c r="D489" s="21" t="s">
        <v>1225</v>
      </c>
      <c r="E489" s="1" t="s">
        <v>9</v>
      </c>
      <c r="F489" s="1" t="s">
        <v>1226</v>
      </c>
      <c r="G489" s="1" t="s">
        <v>7</v>
      </c>
      <c r="H489" s="9">
        <f>_xlfn.XLOOKUP(Tabla3[[#This Row],[Nit]],Hoja2!A489:A1912,Hoja2!C489:C1912)</f>
        <v>1000000</v>
      </c>
      <c r="I489" s="1">
        <f>_xlfn.XLOOKUP(Tabla3[[#This Row],[Cliente]],'[1]Datos Contacto'!$A$2:$A$23,'[1]Datos Contacto'!$E$2:$E$23,0,0,1)</f>
        <v>0</v>
      </c>
    </row>
    <row r="490" spans="1:9" x14ac:dyDescent="0.25">
      <c r="A490" s="1">
        <v>1121852144</v>
      </c>
      <c r="B490" s="1" t="s">
        <v>505</v>
      </c>
      <c r="C490" s="1"/>
      <c r="D490" s="21" t="s">
        <v>1225</v>
      </c>
      <c r="E490" s="1" t="s">
        <v>9</v>
      </c>
      <c r="F490" s="1" t="s">
        <v>1226</v>
      </c>
      <c r="G490" s="1" t="s">
        <v>11</v>
      </c>
      <c r="H490" s="9">
        <f>_xlfn.XLOOKUP(Tabla3[[#This Row],[Nit]],Hoja2!A490:A1913,Hoja2!C490:C1913)</f>
        <v>1000000</v>
      </c>
      <c r="I490" s="1">
        <f>_xlfn.XLOOKUP(Tabla3[[#This Row],[Cliente]],'[1]Datos Contacto'!$A$2:$A$23,'[1]Datos Contacto'!$E$2:$E$23,0,0,1)</f>
        <v>0</v>
      </c>
    </row>
    <row r="491" spans="1:9" x14ac:dyDescent="0.25">
      <c r="A491" s="1">
        <v>1013642253</v>
      </c>
      <c r="B491" s="1" t="s">
        <v>506</v>
      </c>
      <c r="C491" s="1"/>
      <c r="D491" s="21" t="s">
        <v>1225</v>
      </c>
      <c r="E491" s="1" t="s">
        <v>9</v>
      </c>
      <c r="F491" s="1" t="s">
        <v>1226</v>
      </c>
      <c r="G491" s="1" t="s">
        <v>48</v>
      </c>
      <c r="H491" s="9">
        <f>_xlfn.XLOOKUP(Tabla3[[#This Row],[Nit]],Hoja2!A491:A1914,Hoja2!C491:C1914)</f>
        <v>1000000</v>
      </c>
      <c r="I491" s="1">
        <f>_xlfn.XLOOKUP(Tabla3[[#This Row],[Cliente]],'[1]Datos Contacto'!$A$2:$A$23,'[1]Datos Contacto'!$E$2:$E$23,0,0,1)</f>
        <v>0</v>
      </c>
    </row>
    <row r="492" spans="1:9" x14ac:dyDescent="0.25">
      <c r="A492" s="1">
        <v>1005624341</v>
      </c>
      <c r="B492" s="1" t="s">
        <v>507</v>
      </c>
      <c r="C492" s="1"/>
      <c r="D492" s="21" t="s">
        <v>1225</v>
      </c>
      <c r="E492" s="1" t="s">
        <v>9</v>
      </c>
      <c r="F492" s="1" t="s">
        <v>1226</v>
      </c>
      <c r="G492" s="1" t="s">
        <v>11</v>
      </c>
      <c r="H492" s="9">
        <f>_xlfn.XLOOKUP(Tabla3[[#This Row],[Nit]],Hoja2!A492:A1915,Hoja2!C492:C1915)</f>
        <v>1000000</v>
      </c>
      <c r="I492" s="1">
        <f>_xlfn.XLOOKUP(Tabla3[[#This Row],[Cliente]],'[1]Datos Contacto'!$A$2:$A$23,'[1]Datos Contacto'!$E$2:$E$23,0,0,1)</f>
        <v>0</v>
      </c>
    </row>
    <row r="493" spans="1:9" x14ac:dyDescent="0.25">
      <c r="A493" s="1">
        <v>450</v>
      </c>
      <c r="B493" s="1" t="s">
        <v>508</v>
      </c>
      <c r="C493" s="1"/>
      <c r="D493" s="21" t="s">
        <v>1225</v>
      </c>
      <c r="E493" s="1" t="s">
        <v>9</v>
      </c>
      <c r="F493" s="1" t="s">
        <v>1226</v>
      </c>
      <c r="G493" s="1" t="s">
        <v>7</v>
      </c>
      <c r="H493" s="9">
        <f>_xlfn.XLOOKUP(Tabla3[[#This Row],[Nit]],Hoja2!A493:A1916,Hoja2!C493:C1916)</f>
        <v>1000000</v>
      </c>
      <c r="I493" s="1">
        <f>_xlfn.XLOOKUP(Tabla3[[#This Row],[Cliente]],'[1]Datos Contacto'!$A$2:$A$23,'[1]Datos Contacto'!$E$2:$E$23,0,0,1)</f>
        <v>0</v>
      </c>
    </row>
    <row r="494" spans="1:9" x14ac:dyDescent="0.25">
      <c r="A494" s="1">
        <v>51636012</v>
      </c>
      <c r="B494" s="1" t="s">
        <v>509</v>
      </c>
      <c r="C494" s="1"/>
      <c r="D494" s="21" t="s">
        <v>1225</v>
      </c>
      <c r="E494" s="1" t="s">
        <v>6</v>
      </c>
      <c r="F494" s="1" t="s">
        <v>1226</v>
      </c>
      <c r="G494" s="1" t="s">
        <v>7</v>
      </c>
      <c r="H494" s="9">
        <f>_xlfn.XLOOKUP(Tabla3[[#This Row],[Nit]],Hoja2!A494:A1917,Hoja2!C494:C1917)</f>
        <v>1000000</v>
      </c>
      <c r="I494" s="1">
        <f>_xlfn.XLOOKUP(Tabla3[[#This Row],[Cliente]],'[1]Datos Contacto'!$A$2:$A$23,'[1]Datos Contacto'!$E$2:$E$23,0,0,1)</f>
        <v>0</v>
      </c>
    </row>
    <row r="495" spans="1:9" x14ac:dyDescent="0.25">
      <c r="A495" s="1">
        <v>226</v>
      </c>
      <c r="B495" s="1" t="s">
        <v>510</v>
      </c>
      <c r="C495" s="1"/>
      <c r="D495" s="21" t="s">
        <v>1225</v>
      </c>
      <c r="E495" s="1" t="s">
        <v>9</v>
      </c>
      <c r="F495" s="1" t="s">
        <v>1226</v>
      </c>
      <c r="G495" s="1" t="s">
        <v>7</v>
      </c>
      <c r="H495" s="9">
        <f>_xlfn.XLOOKUP(Tabla3[[#This Row],[Nit]],Hoja2!A495:A1918,Hoja2!C495:C1918)</f>
        <v>1000000</v>
      </c>
      <c r="I495" s="1">
        <f>_xlfn.XLOOKUP(Tabla3[[#This Row],[Cliente]],'[1]Datos Contacto'!$A$2:$A$23,'[1]Datos Contacto'!$E$2:$E$23,0,0,1)</f>
        <v>0</v>
      </c>
    </row>
    <row r="496" spans="1:9" x14ac:dyDescent="0.25">
      <c r="A496" s="1">
        <v>80492996</v>
      </c>
      <c r="B496" s="1" t="s">
        <v>511</v>
      </c>
      <c r="C496" s="1"/>
      <c r="D496" s="21" t="s">
        <v>1225</v>
      </c>
      <c r="E496" s="1" t="s">
        <v>9</v>
      </c>
      <c r="F496" s="1" t="s">
        <v>1226</v>
      </c>
      <c r="G496" s="1" t="s">
        <v>11</v>
      </c>
      <c r="H496" s="9">
        <f>_xlfn.XLOOKUP(Tabla3[[#This Row],[Nit]],Hoja2!A496:A1919,Hoja2!C496:C1919)</f>
        <v>1000000</v>
      </c>
      <c r="I496" s="1">
        <f>_xlfn.XLOOKUP(Tabla3[[#This Row],[Cliente]],'[1]Datos Contacto'!$A$2:$A$23,'[1]Datos Contacto'!$E$2:$E$23,0,0,1)</f>
        <v>0</v>
      </c>
    </row>
    <row r="497" spans="1:9" x14ac:dyDescent="0.25">
      <c r="A497" s="1">
        <v>91458460</v>
      </c>
      <c r="B497" s="1" t="s">
        <v>512</v>
      </c>
      <c r="C497" s="1"/>
      <c r="D497" s="21" t="s">
        <v>1225</v>
      </c>
      <c r="E497" s="1" t="s">
        <v>9</v>
      </c>
      <c r="F497" s="1" t="s">
        <v>1226</v>
      </c>
      <c r="G497" s="1" t="s">
        <v>11</v>
      </c>
      <c r="H497" s="9">
        <f>_xlfn.XLOOKUP(Tabla3[[#This Row],[Nit]],Hoja2!A497:A1920,Hoja2!C497:C1920)</f>
        <v>1000000</v>
      </c>
      <c r="I497" s="1">
        <f>_xlfn.XLOOKUP(Tabla3[[#This Row],[Cliente]],'[1]Datos Contacto'!$A$2:$A$23,'[1]Datos Contacto'!$E$2:$E$23,0,0,1)</f>
        <v>0</v>
      </c>
    </row>
    <row r="498" spans="1:9" x14ac:dyDescent="0.25">
      <c r="A498" s="1">
        <v>41713296</v>
      </c>
      <c r="B498" s="1" t="s">
        <v>513</v>
      </c>
      <c r="C498" s="1"/>
      <c r="D498" s="21" t="s">
        <v>1225</v>
      </c>
      <c r="E498" s="1" t="s">
        <v>9</v>
      </c>
      <c r="F498" s="1" t="s">
        <v>1226</v>
      </c>
      <c r="G498" s="1" t="s">
        <v>11</v>
      </c>
      <c r="H498" s="9">
        <f>_xlfn.XLOOKUP(Tabla3[[#This Row],[Nit]],Hoja2!A498:A1921,Hoja2!C498:C1921)</f>
        <v>1000000</v>
      </c>
      <c r="I498" s="1">
        <f>_xlfn.XLOOKUP(Tabla3[[#This Row],[Cliente]],'[1]Datos Contacto'!$A$2:$A$23,'[1]Datos Contacto'!$E$2:$E$23,0,0,1)</f>
        <v>0</v>
      </c>
    </row>
    <row r="499" spans="1:9" x14ac:dyDescent="0.25">
      <c r="A499" s="1">
        <v>1040498688</v>
      </c>
      <c r="B499" s="1" t="s">
        <v>514</v>
      </c>
      <c r="C499" s="1"/>
      <c r="D499" s="21" t="s">
        <v>1225</v>
      </c>
      <c r="E499" s="1" t="s">
        <v>9</v>
      </c>
      <c r="F499" s="1" t="s">
        <v>1226</v>
      </c>
      <c r="G499" s="1" t="s">
        <v>11</v>
      </c>
      <c r="H499" s="9">
        <f>_xlfn.XLOOKUP(Tabla3[[#This Row],[Nit]],Hoja2!A499:A1922,Hoja2!C499:C1922)</f>
        <v>1000000</v>
      </c>
      <c r="I499" s="1">
        <f>_xlfn.XLOOKUP(Tabla3[[#This Row],[Cliente]],'[1]Datos Contacto'!$A$2:$A$23,'[1]Datos Contacto'!$E$2:$E$23,0,0,1)</f>
        <v>0</v>
      </c>
    </row>
    <row r="500" spans="1:9" x14ac:dyDescent="0.25">
      <c r="A500" s="1">
        <v>52052974</v>
      </c>
      <c r="B500" s="1" t="s">
        <v>515</v>
      </c>
      <c r="C500" s="1"/>
      <c r="D500" s="21" t="s">
        <v>1225</v>
      </c>
      <c r="E500" s="1" t="s">
        <v>9</v>
      </c>
      <c r="F500" s="1" t="s">
        <v>1226</v>
      </c>
      <c r="G500" s="1" t="s">
        <v>11</v>
      </c>
      <c r="H500" s="9">
        <f>_xlfn.XLOOKUP(Tabla3[[#This Row],[Nit]],Hoja2!A500:A1923,Hoja2!C500:C1923)</f>
        <v>2000000</v>
      </c>
      <c r="I500" s="1">
        <f>_xlfn.XLOOKUP(Tabla3[[#This Row],[Cliente]],'[1]Datos Contacto'!$A$2:$A$23,'[1]Datos Contacto'!$E$2:$E$23,0,0,1)</f>
        <v>0</v>
      </c>
    </row>
    <row r="501" spans="1:9" x14ac:dyDescent="0.25">
      <c r="A501" s="1">
        <v>3456</v>
      </c>
      <c r="B501" s="1" t="s">
        <v>516</v>
      </c>
      <c r="C501" s="1"/>
      <c r="D501" s="21" t="s">
        <v>1225</v>
      </c>
      <c r="E501" s="1" t="s">
        <v>9</v>
      </c>
      <c r="F501" s="1" t="s">
        <v>1226</v>
      </c>
      <c r="G501" s="1" t="s">
        <v>11</v>
      </c>
      <c r="H501" s="9">
        <f>_xlfn.XLOOKUP(Tabla3[[#This Row],[Nit]],Hoja2!A501:A1924,Hoja2!C501:C1924)</f>
        <v>1000000</v>
      </c>
      <c r="I501" s="1">
        <f>_xlfn.XLOOKUP(Tabla3[[#This Row],[Cliente]],'[1]Datos Contacto'!$A$2:$A$23,'[1]Datos Contacto'!$E$2:$E$23,0,0,1)</f>
        <v>0</v>
      </c>
    </row>
    <row r="502" spans="1:9" x14ac:dyDescent="0.25">
      <c r="A502" s="1">
        <v>1031131204</v>
      </c>
      <c r="B502" s="1" t="s">
        <v>517</v>
      </c>
      <c r="C502" s="1"/>
      <c r="D502" s="21" t="s">
        <v>1225</v>
      </c>
      <c r="E502" s="1" t="s">
        <v>9</v>
      </c>
      <c r="F502" s="1" t="s">
        <v>1226</v>
      </c>
      <c r="G502" s="1" t="s">
        <v>20</v>
      </c>
      <c r="H502" s="9">
        <f>_xlfn.XLOOKUP(Tabla3[[#This Row],[Nit]],Hoja2!A502:A1925,Hoja2!C502:C1925)</f>
        <v>1000000</v>
      </c>
      <c r="I502" s="1">
        <f>_xlfn.XLOOKUP(Tabla3[[#This Row],[Cliente]],'[1]Datos Contacto'!$A$2:$A$23,'[1]Datos Contacto'!$E$2:$E$23,0,0,1)</f>
        <v>0</v>
      </c>
    </row>
    <row r="503" spans="1:9" x14ac:dyDescent="0.25">
      <c r="A503" s="1">
        <v>39792306</v>
      </c>
      <c r="B503" s="1" t="s">
        <v>518</v>
      </c>
      <c r="C503" s="1"/>
      <c r="D503" s="21" t="s">
        <v>1225</v>
      </c>
      <c r="E503" s="1" t="s">
        <v>9</v>
      </c>
      <c r="F503" s="1" t="s">
        <v>1226</v>
      </c>
      <c r="G503" s="1" t="s">
        <v>48</v>
      </c>
      <c r="H503" s="9">
        <f>_xlfn.XLOOKUP(Tabla3[[#This Row],[Nit]],Hoja2!A503:A1926,Hoja2!C503:C1926)</f>
        <v>1000000</v>
      </c>
      <c r="I503" s="1">
        <f>_xlfn.XLOOKUP(Tabla3[[#This Row],[Cliente]],'[1]Datos Contacto'!$A$2:$A$23,'[1]Datos Contacto'!$E$2:$E$23,0,0,1)</f>
        <v>0</v>
      </c>
    </row>
    <row r="504" spans="1:9" x14ac:dyDescent="0.25">
      <c r="A504" s="1">
        <v>1016040452</v>
      </c>
      <c r="B504" s="1" t="s">
        <v>519</v>
      </c>
      <c r="C504" s="1"/>
      <c r="D504" s="21" t="s">
        <v>1225</v>
      </c>
      <c r="E504" s="1" t="s">
        <v>9</v>
      </c>
      <c r="F504" s="1" t="s">
        <v>1226</v>
      </c>
      <c r="G504" s="1" t="s">
        <v>48</v>
      </c>
      <c r="H504" s="9">
        <f>_xlfn.XLOOKUP(Tabla3[[#This Row],[Nit]],Hoja2!A504:A1927,Hoja2!C504:C1927)</f>
        <v>1000000</v>
      </c>
      <c r="I504" s="1">
        <f>_xlfn.XLOOKUP(Tabla3[[#This Row],[Cliente]],'[1]Datos Contacto'!$A$2:$A$23,'[1]Datos Contacto'!$E$2:$E$23,0,0,1)</f>
        <v>0</v>
      </c>
    </row>
    <row r="505" spans="1:9" x14ac:dyDescent="0.25">
      <c r="A505" s="1">
        <v>1020751633</v>
      </c>
      <c r="B505" s="1" t="s">
        <v>520</v>
      </c>
      <c r="C505" s="1"/>
      <c r="D505" s="21" t="s">
        <v>1225</v>
      </c>
      <c r="E505" s="1" t="s">
        <v>79</v>
      </c>
      <c r="F505" s="1" t="s">
        <v>1226</v>
      </c>
      <c r="G505" s="1" t="s">
        <v>11</v>
      </c>
      <c r="H505" s="9">
        <f>_xlfn.XLOOKUP(Tabla3[[#This Row],[Nit]],Hoja2!A505:A1928,Hoja2!C505:C1928)</f>
        <v>1000000</v>
      </c>
      <c r="I505" s="1">
        <f>_xlfn.XLOOKUP(Tabla3[[#This Row],[Cliente]],'[1]Datos Contacto'!$A$2:$A$23,'[1]Datos Contacto'!$E$2:$E$23,0,0,1)</f>
        <v>0</v>
      </c>
    </row>
    <row r="506" spans="1:9" x14ac:dyDescent="0.25">
      <c r="A506" s="1">
        <v>146</v>
      </c>
      <c r="B506" s="1" t="s">
        <v>521</v>
      </c>
      <c r="C506" s="1"/>
      <c r="D506" s="21" t="s">
        <v>1225</v>
      </c>
      <c r="E506" s="1" t="s">
        <v>9</v>
      </c>
      <c r="F506" s="1" t="s">
        <v>1226</v>
      </c>
      <c r="G506" s="1" t="s">
        <v>11</v>
      </c>
      <c r="H506" s="9">
        <f>_xlfn.XLOOKUP(Tabla3[[#This Row],[Nit]],Hoja2!A506:A1929,Hoja2!C506:C1929)</f>
        <v>1000000</v>
      </c>
      <c r="I506" s="1">
        <f>_xlfn.XLOOKUP(Tabla3[[#This Row],[Cliente]],'[1]Datos Contacto'!$A$2:$A$23,'[1]Datos Contacto'!$E$2:$E$23,0,0,1)</f>
        <v>0</v>
      </c>
    </row>
    <row r="507" spans="1:9" x14ac:dyDescent="0.25">
      <c r="A507" s="1">
        <v>10154193222</v>
      </c>
      <c r="B507" s="1" t="s">
        <v>522</v>
      </c>
      <c r="C507" s="1"/>
      <c r="D507" s="21" t="s">
        <v>1225</v>
      </c>
      <c r="E507" s="1" t="s">
        <v>9</v>
      </c>
      <c r="F507" s="1" t="s">
        <v>1226</v>
      </c>
      <c r="G507" s="1" t="s">
        <v>7</v>
      </c>
      <c r="H507" s="9">
        <f>_xlfn.XLOOKUP(Tabla3[[#This Row],[Nit]],Hoja2!A507:A1930,Hoja2!C507:C1930)</f>
        <v>1000000</v>
      </c>
      <c r="I507" s="1">
        <f>_xlfn.XLOOKUP(Tabla3[[#This Row],[Cliente]],'[1]Datos Contacto'!$A$2:$A$23,'[1]Datos Contacto'!$E$2:$E$23,0,0,1)</f>
        <v>0</v>
      </c>
    </row>
    <row r="508" spans="1:9" x14ac:dyDescent="0.25">
      <c r="A508" s="1">
        <v>1005929397</v>
      </c>
      <c r="B508" s="1" t="s">
        <v>523</v>
      </c>
      <c r="C508" s="1"/>
      <c r="D508" s="21" t="s">
        <v>1225</v>
      </c>
      <c r="E508" s="1" t="s">
        <v>9</v>
      </c>
      <c r="F508" s="1" t="s">
        <v>1226</v>
      </c>
      <c r="G508" s="1" t="s">
        <v>11</v>
      </c>
      <c r="H508" s="9">
        <f>_xlfn.XLOOKUP(Tabla3[[#This Row],[Nit]],Hoja2!A508:A1931,Hoja2!C508:C1931)</f>
        <v>1000000</v>
      </c>
      <c r="I508" s="1">
        <f>_xlfn.XLOOKUP(Tabla3[[#This Row],[Cliente]],'[1]Datos Contacto'!$A$2:$A$23,'[1]Datos Contacto'!$E$2:$E$23,0,0,1)</f>
        <v>0</v>
      </c>
    </row>
    <row r="509" spans="1:9" x14ac:dyDescent="0.25">
      <c r="A509" s="1">
        <v>900669414</v>
      </c>
      <c r="B509" s="1" t="s">
        <v>524</v>
      </c>
      <c r="C509" s="1"/>
      <c r="D509" s="21" t="s">
        <v>1225</v>
      </c>
      <c r="E509" s="1" t="s">
        <v>6</v>
      </c>
      <c r="F509" s="1" t="s">
        <v>1226</v>
      </c>
      <c r="G509" s="1" t="s">
        <v>7</v>
      </c>
      <c r="H509" s="9">
        <f>_xlfn.XLOOKUP(Tabla3[[#This Row],[Nit]],Hoja2!A509:A1932,Hoja2!C509:C1932)</f>
        <v>20000000</v>
      </c>
      <c r="I509" s="1">
        <f>_xlfn.XLOOKUP(Tabla3[[#This Row],[Cliente]],'[1]Datos Contacto'!$A$2:$A$23,'[1]Datos Contacto'!$E$2:$E$23,0,0,1)</f>
        <v>0</v>
      </c>
    </row>
    <row r="510" spans="1:9" x14ac:dyDescent="0.25">
      <c r="A510" s="1">
        <v>1024504568</v>
      </c>
      <c r="B510" s="1" t="s">
        <v>525</v>
      </c>
      <c r="C510" s="1"/>
      <c r="D510" s="21" t="s">
        <v>1225</v>
      </c>
      <c r="E510" s="1" t="s">
        <v>9</v>
      </c>
      <c r="F510" s="1" t="s">
        <v>1226</v>
      </c>
      <c r="G510" s="1" t="s">
        <v>36</v>
      </c>
      <c r="H510" s="9">
        <f>_xlfn.XLOOKUP(Tabla3[[#This Row],[Nit]],Hoja2!A510:A1933,Hoja2!C510:C1933)</f>
        <v>1000000</v>
      </c>
      <c r="I510" s="1">
        <f>_xlfn.XLOOKUP(Tabla3[[#This Row],[Cliente]],'[1]Datos Contacto'!$A$2:$A$23,'[1]Datos Contacto'!$E$2:$E$23,0,0,1)</f>
        <v>0</v>
      </c>
    </row>
    <row r="511" spans="1:9" x14ac:dyDescent="0.25">
      <c r="A511" s="1">
        <v>52429723</v>
      </c>
      <c r="B511" s="1" t="s">
        <v>526</v>
      </c>
      <c r="C511" s="1"/>
      <c r="D511" s="21" t="s">
        <v>1225</v>
      </c>
      <c r="E511" s="1" t="s">
        <v>9</v>
      </c>
      <c r="F511" s="1" t="s">
        <v>1226</v>
      </c>
      <c r="G511" s="1" t="s">
        <v>36</v>
      </c>
      <c r="H511" s="9">
        <f>_xlfn.XLOOKUP(Tabla3[[#This Row],[Nit]],Hoja2!A511:A1934,Hoja2!C511:C1934)</f>
        <v>1000000</v>
      </c>
      <c r="I511" s="1">
        <f>_xlfn.XLOOKUP(Tabla3[[#This Row],[Cliente]],'[1]Datos Contacto'!$A$2:$A$23,'[1]Datos Contacto'!$E$2:$E$23,0,0,1)</f>
        <v>0</v>
      </c>
    </row>
    <row r="512" spans="1:9" x14ac:dyDescent="0.25">
      <c r="A512" s="1">
        <v>74392629</v>
      </c>
      <c r="B512" s="1" t="s">
        <v>527</v>
      </c>
      <c r="C512" s="1"/>
      <c r="D512" s="21" t="s">
        <v>1225</v>
      </c>
      <c r="E512" s="1" t="s">
        <v>9</v>
      </c>
      <c r="F512" s="1" t="s">
        <v>1226</v>
      </c>
      <c r="G512" s="1" t="s">
        <v>11</v>
      </c>
      <c r="H512" s="9">
        <f>_xlfn.XLOOKUP(Tabla3[[#This Row],[Nit]],Hoja2!A512:A1935,Hoja2!C512:C1935)</f>
        <v>1000000</v>
      </c>
      <c r="I512" s="1">
        <f>_xlfn.XLOOKUP(Tabla3[[#This Row],[Cliente]],'[1]Datos Contacto'!$A$2:$A$23,'[1]Datos Contacto'!$E$2:$E$23,0,0,1)</f>
        <v>0</v>
      </c>
    </row>
    <row r="513" spans="1:9" x14ac:dyDescent="0.25">
      <c r="A513" s="1">
        <v>1050779230</v>
      </c>
      <c r="B513" s="1" t="s">
        <v>528</v>
      </c>
      <c r="C513" s="1"/>
      <c r="D513" s="21" t="s">
        <v>1225</v>
      </c>
      <c r="E513" s="1" t="s">
        <v>9</v>
      </c>
      <c r="F513" s="1" t="s">
        <v>1226</v>
      </c>
      <c r="G513" s="1" t="s">
        <v>11</v>
      </c>
      <c r="H513" s="9">
        <f>_xlfn.XLOOKUP(Tabla3[[#This Row],[Nit]],Hoja2!A513:A1936,Hoja2!C513:C1936)</f>
        <v>1000000</v>
      </c>
      <c r="I513" s="1">
        <f>_xlfn.XLOOKUP(Tabla3[[#This Row],[Cliente]],'[1]Datos Contacto'!$A$2:$A$23,'[1]Datos Contacto'!$E$2:$E$23,0,0,1)</f>
        <v>0</v>
      </c>
    </row>
    <row r="514" spans="1:9" x14ac:dyDescent="0.25">
      <c r="A514" s="1">
        <v>230</v>
      </c>
      <c r="B514" s="1" t="s">
        <v>529</v>
      </c>
      <c r="C514" s="1"/>
      <c r="D514" s="21" t="s">
        <v>1225</v>
      </c>
      <c r="E514" s="1" t="s">
        <v>9</v>
      </c>
      <c r="F514" s="1" t="s">
        <v>1226</v>
      </c>
      <c r="G514" s="1" t="s">
        <v>11</v>
      </c>
      <c r="H514" s="9">
        <f>_xlfn.XLOOKUP(Tabla3[[#This Row],[Nit]],Hoja2!A514:A1937,Hoja2!C514:C1937)</f>
        <v>1000000</v>
      </c>
      <c r="I514" s="1">
        <f>_xlfn.XLOOKUP(Tabla3[[#This Row],[Cliente]],'[1]Datos Contacto'!$A$2:$A$23,'[1]Datos Contacto'!$E$2:$E$23,0,0,1)</f>
        <v>0</v>
      </c>
    </row>
    <row r="515" spans="1:9" x14ac:dyDescent="0.25">
      <c r="A515" s="1">
        <v>194665</v>
      </c>
      <c r="B515" s="1" t="s">
        <v>530</v>
      </c>
      <c r="C515" s="1"/>
      <c r="D515" s="21" t="s">
        <v>1225</v>
      </c>
      <c r="E515" s="1" t="s">
        <v>9</v>
      </c>
      <c r="F515" s="1" t="s">
        <v>1226</v>
      </c>
      <c r="G515" s="1" t="s">
        <v>15</v>
      </c>
      <c r="H515" s="9">
        <f>_xlfn.XLOOKUP(Tabla3[[#This Row],[Nit]],Hoja2!A515:A1938,Hoja2!C515:C1938)</f>
        <v>1000000</v>
      </c>
      <c r="I515" s="1">
        <f>_xlfn.XLOOKUP(Tabla3[[#This Row],[Cliente]],'[1]Datos Contacto'!$A$2:$A$23,'[1]Datos Contacto'!$E$2:$E$23,0,0,1)</f>
        <v>0</v>
      </c>
    </row>
    <row r="516" spans="1:9" x14ac:dyDescent="0.25">
      <c r="A516" s="1">
        <v>1015432892</v>
      </c>
      <c r="B516" s="1" t="s">
        <v>531</v>
      </c>
      <c r="C516" s="1"/>
      <c r="D516" s="21" t="s">
        <v>1225</v>
      </c>
      <c r="E516" s="1" t="s">
        <v>9</v>
      </c>
      <c r="F516" s="1" t="s">
        <v>1226</v>
      </c>
      <c r="G516" s="1" t="s">
        <v>15</v>
      </c>
      <c r="H516" s="9">
        <f>_xlfn.XLOOKUP(Tabla3[[#This Row],[Nit]],Hoja2!A516:A1939,Hoja2!C516:C1939)</f>
        <v>1000000</v>
      </c>
      <c r="I516" s="1">
        <f>_xlfn.XLOOKUP(Tabla3[[#This Row],[Cliente]],'[1]Datos Contacto'!$A$2:$A$23,'[1]Datos Contacto'!$E$2:$E$23,0,0,1)</f>
        <v>0</v>
      </c>
    </row>
    <row r="517" spans="1:9" x14ac:dyDescent="0.25">
      <c r="A517" s="1">
        <v>1022363540</v>
      </c>
      <c r="B517" s="1" t="s">
        <v>532</v>
      </c>
      <c r="C517" s="1"/>
      <c r="D517" s="21" t="s">
        <v>1225</v>
      </c>
      <c r="E517" s="1" t="s">
        <v>9</v>
      </c>
      <c r="F517" s="1" t="s">
        <v>1226</v>
      </c>
      <c r="G517" s="1" t="s">
        <v>20</v>
      </c>
      <c r="H517" s="9">
        <f>_xlfn.XLOOKUP(Tabla3[[#This Row],[Nit]],Hoja2!A517:A1940,Hoja2!C517:C1940)</f>
        <v>1000000</v>
      </c>
      <c r="I517" s="1">
        <f>_xlfn.XLOOKUP(Tabla3[[#This Row],[Cliente]],'[1]Datos Contacto'!$A$2:$A$23,'[1]Datos Contacto'!$E$2:$E$23,0,0,1)</f>
        <v>0</v>
      </c>
    </row>
    <row r="518" spans="1:9" x14ac:dyDescent="0.25">
      <c r="A518" s="1">
        <v>1022368599</v>
      </c>
      <c r="B518" s="1" t="s">
        <v>533</v>
      </c>
      <c r="C518" s="1"/>
      <c r="D518" s="21" t="s">
        <v>1225</v>
      </c>
      <c r="E518" s="1" t="s">
        <v>9</v>
      </c>
      <c r="F518" s="1" t="s">
        <v>1226</v>
      </c>
      <c r="G518" s="1" t="s">
        <v>11</v>
      </c>
      <c r="H518" s="9">
        <f>_xlfn.XLOOKUP(Tabla3[[#This Row],[Nit]],Hoja2!A518:A1941,Hoja2!C518:C1941)</f>
        <v>1000000</v>
      </c>
      <c r="I518" s="1">
        <f>_xlfn.XLOOKUP(Tabla3[[#This Row],[Cliente]],'[1]Datos Contacto'!$A$2:$A$23,'[1]Datos Contacto'!$E$2:$E$23,0,0,1)</f>
        <v>0</v>
      </c>
    </row>
    <row r="519" spans="1:9" x14ac:dyDescent="0.25">
      <c r="A519" s="1">
        <v>79132212</v>
      </c>
      <c r="B519" s="1" t="s">
        <v>534</v>
      </c>
      <c r="C519" s="1"/>
      <c r="D519" s="21" t="s">
        <v>1225</v>
      </c>
      <c r="E519" s="1" t="s">
        <v>9</v>
      </c>
      <c r="F519" s="1" t="s">
        <v>1226</v>
      </c>
      <c r="G519" s="1" t="s">
        <v>11</v>
      </c>
      <c r="H519" s="9">
        <f>_xlfn.XLOOKUP(Tabla3[[#This Row],[Nit]],Hoja2!A519:A1942,Hoja2!C519:C1942)</f>
        <v>1000000</v>
      </c>
      <c r="I519" s="1">
        <f>_xlfn.XLOOKUP(Tabla3[[#This Row],[Cliente]],'[1]Datos Contacto'!$A$2:$A$23,'[1]Datos Contacto'!$E$2:$E$23,0,0,1)</f>
        <v>0</v>
      </c>
    </row>
    <row r="520" spans="1:9" x14ac:dyDescent="0.25">
      <c r="A520" s="1">
        <v>79878167</v>
      </c>
      <c r="B520" s="1" t="s">
        <v>535</v>
      </c>
      <c r="C520" s="1"/>
      <c r="D520" s="21" t="s">
        <v>1225</v>
      </c>
      <c r="E520" s="1" t="s">
        <v>9</v>
      </c>
      <c r="F520" s="1" t="s">
        <v>1226</v>
      </c>
      <c r="G520" s="1" t="s">
        <v>11</v>
      </c>
      <c r="H520" s="9">
        <f>_xlfn.XLOOKUP(Tabla3[[#This Row],[Nit]],Hoja2!A520:A1943,Hoja2!C520:C1943)</f>
        <v>1000000</v>
      </c>
      <c r="I520" s="1">
        <f>_xlfn.XLOOKUP(Tabla3[[#This Row],[Cliente]],'[1]Datos Contacto'!$A$2:$A$23,'[1]Datos Contacto'!$E$2:$E$23,0,0,1)</f>
        <v>0</v>
      </c>
    </row>
    <row r="521" spans="1:9" x14ac:dyDescent="0.25">
      <c r="A521" s="1">
        <v>79570084</v>
      </c>
      <c r="B521" s="1" t="s">
        <v>536</v>
      </c>
      <c r="C521" s="1"/>
      <c r="D521" s="21" t="s">
        <v>1225</v>
      </c>
      <c r="E521" s="1" t="s">
        <v>9</v>
      </c>
      <c r="F521" s="1" t="s">
        <v>1226</v>
      </c>
      <c r="G521" s="1" t="s">
        <v>11</v>
      </c>
      <c r="H521" s="9">
        <f>_xlfn.XLOOKUP(Tabla3[[#This Row],[Nit]],Hoja2!A521:A1944,Hoja2!C521:C1944)</f>
        <v>1000000</v>
      </c>
      <c r="I521" s="1">
        <f>_xlfn.XLOOKUP(Tabla3[[#This Row],[Cliente]],'[1]Datos Contacto'!$A$2:$A$23,'[1]Datos Contacto'!$E$2:$E$23,0,0,1)</f>
        <v>0</v>
      </c>
    </row>
    <row r="522" spans="1:9" x14ac:dyDescent="0.25">
      <c r="A522" s="1">
        <v>180</v>
      </c>
      <c r="B522" s="1" t="s">
        <v>537</v>
      </c>
      <c r="C522" s="1"/>
      <c r="D522" s="21" t="s">
        <v>1225</v>
      </c>
      <c r="E522" s="1" t="s">
        <v>9</v>
      </c>
      <c r="F522" s="1" t="s">
        <v>1226</v>
      </c>
      <c r="G522" s="1" t="s">
        <v>11</v>
      </c>
      <c r="H522" s="9">
        <f>_xlfn.XLOOKUP(Tabla3[[#This Row],[Nit]],Hoja2!A522:A1945,Hoja2!C522:C1945)</f>
        <v>1000000</v>
      </c>
      <c r="I522" s="1">
        <f>_xlfn.XLOOKUP(Tabla3[[#This Row],[Cliente]],'[1]Datos Contacto'!$A$2:$A$23,'[1]Datos Contacto'!$E$2:$E$23,0,0,1)</f>
        <v>0</v>
      </c>
    </row>
    <row r="523" spans="1:9" x14ac:dyDescent="0.25">
      <c r="A523" s="1">
        <v>901252688</v>
      </c>
      <c r="B523" s="1" t="s">
        <v>538</v>
      </c>
      <c r="C523" s="1"/>
      <c r="D523" s="21" t="s">
        <v>1225</v>
      </c>
      <c r="E523" s="1" t="s">
        <v>9</v>
      </c>
      <c r="F523" s="1" t="s">
        <v>1226</v>
      </c>
      <c r="G523" s="1" t="s">
        <v>7</v>
      </c>
      <c r="H523" s="9">
        <f>_xlfn.XLOOKUP(Tabla3[[#This Row],[Nit]],Hoja2!A523:A1946,Hoja2!C523:C1946)</f>
        <v>1000000</v>
      </c>
      <c r="I523" s="1">
        <f>_xlfn.XLOOKUP(Tabla3[[#This Row],[Cliente]],'[1]Datos Contacto'!$A$2:$A$23,'[1]Datos Contacto'!$E$2:$E$23,0,0,1)</f>
        <v>0</v>
      </c>
    </row>
    <row r="524" spans="1:9" x14ac:dyDescent="0.25">
      <c r="A524" s="1">
        <v>41375050</v>
      </c>
      <c r="B524" s="1" t="s">
        <v>539</v>
      </c>
      <c r="C524" s="1"/>
      <c r="D524" s="21" t="s">
        <v>1225</v>
      </c>
      <c r="E524" s="1" t="s">
        <v>9</v>
      </c>
      <c r="F524" s="1" t="s">
        <v>1226</v>
      </c>
      <c r="G524" s="1" t="s">
        <v>11</v>
      </c>
      <c r="H524" s="9">
        <f>_xlfn.XLOOKUP(Tabla3[[#This Row],[Nit]],Hoja2!A524:A1947,Hoja2!C524:C1947)</f>
        <v>1000000</v>
      </c>
      <c r="I524" s="1">
        <f>_xlfn.XLOOKUP(Tabla3[[#This Row],[Cliente]],'[1]Datos Contacto'!$A$2:$A$23,'[1]Datos Contacto'!$E$2:$E$23,0,0,1)</f>
        <v>0</v>
      </c>
    </row>
    <row r="525" spans="1:9" x14ac:dyDescent="0.25">
      <c r="A525" s="1">
        <v>52888684</v>
      </c>
      <c r="B525" s="1" t="s">
        <v>540</v>
      </c>
      <c r="C525" s="1"/>
      <c r="D525" s="21" t="s">
        <v>1225</v>
      </c>
      <c r="E525" s="1" t="s">
        <v>9</v>
      </c>
      <c r="F525" s="1" t="s">
        <v>1226</v>
      </c>
      <c r="G525" s="1" t="s">
        <v>11</v>
      </c>
      <c r="H525" s="9">
        <f>_xlfn.XLOOKUP(Tabla3[[#This Row],[Nit]],Hoja2!A525:A1948,Hoja2!C525:C1948)</f>
        <v>1000000</v>
      </c>
      <c r="I525" s="1">
        <f>_xlfn.XLOOKUP(Tabla3[[#This Row],[Cliente]],'[1]Datos Contacto'!$A$2:$A$23,'[1]Datos Contacto'!$E$2:$E$23,0,0,1)</f>
        <v>0</v>
      </c>
    </row>
    <row r="526" spans="1:9" x14ac:dyDescent="0.25">
      <c r="A526" s="1">
        <v>901179514</v>
      </c>
      <c r="B526" s="1" t="s">
        <v>541</v>
      </c>
      <c r="C526" s="1"/>
      <c r="D526" s="21" t="s">
        <v>1225</v>
      </c>
      <c r="E526" s="1" t="s">
        <v>9</v>
      </c>
      <c r="F526" s="1" t="s">
        <v>1226</v>
      </c>
      <c r="G526" s="1" t="s">
        <v>11</v>
      </c>
      <c r="H526" s="9">
        <f>_xlfn.XLOOKUP(Tabla3[[#This Row],[Nit]],Hoja2!A526:A1949,Hoja2!C526:C1949)</f>
        <v>50000000</v>
      </c>
      <c r="I526" s="1">
        <f>_xlfn.XLOOKUP(Tabla3[[#This Row],[Cliente]],'[1]Datos Contacto'!$A$2:$A$23,'[1]Datos Contacto'!$E$2:$E$23,0,0,1)</f>
        <v>0</v>
      </c>
    </row>
    <row r="527" spans="1:9" x14ac:dyDescent="0.25">
      <c r="A527" s="1">
        <v>900540562</v>
      </c>
      <c r="B527" s="1" t="s">
        <v>542</v>
      </c>
      <c r="C527" s="1"/>
      <c r="D527" s="21" t="s">
        <v>1225</v>
      </c>
      <c r="E527" s="1" t="s">
        <v>9</v>
      </c>
      <c r="F527" s="1" t="s">
        <v>1226</v>
      </c>
      <c r="G527" s="1" t="s">
        <v>11</v>
      </c>
      <c r="H527" s="9">
        <f>_xlfn.XLOOKUP(Tabla3[[#This Row],[Nit]],Hoja2!A527:A1950,Hoja2!C527:C1950)</f>
        <v>1000000</v>
      </c>
      <c r="I527" s="1">
        <f>_xlfn.XLOOKUP(Tabla3[[#This Row],[Cliente]],'[1]Datos Contacto'!$A$2:$A$23,'[1]Datos Contacto'!$E$2:$E$23,0,0,1)</f>
        <v>0</v>
      </c>
    </row>
    <row r="528" spans="1:9" x14ac:dyDescent="0.25">
      <c r="A528" s="1">
        <v>901727520</v>
      </c>
      <c r="B528" s="1" t="s">
        <v>543</v>
      </c>
      <c r="C528" s="1"/>
      <c r="D528" s="21" t="s">
        <v>1225</v>
      </c>
      <c r="E528" s="1" t="s">
        <v>9</v>
      </c>
      <c r="F528" s="1" t="s">
        <v>1226</v>
      </c>
      <c r="G528" s="1" t="s">
        <v>7</v>
      </c>
      <c r="H528" s="9">
        <f>_xlfn.XLOOKUP(Tabla3[[#This Row],[Nit]],Hoja2!A528:A1951,Hoja2!C528:C1951)</f>
        <v>1000000</v>
      </c>
      <c r="I528" s="1">
        <f>_xlfn.XLOOKUP(Tabla3[[#This Row],[Cliente]],'[1]Datos Contacto'!$A$2:$A$23,'[1]Datos Contacto'!$E$2:$E$23,0,0,1)</f>
        <v>0</v>
      </c>
    </row>
    <row r="529" spans="1:9" x14ac:dyDescent="0.25">
      <c r="A529" s="1">
        <v>901275108</v>
      </c>
      <c r="B529" s="1" t="s">
        <v>544</v>
      </c>
      <c r="C529" s="1"/>
      <c r="D529" s="21" t="s">
        <v>1225</v>
      </c>
      <c r="E529" s="1" t="s">
        <v>9</v>
      </c>
      <c r="F529" s="1" t="s">
        <v>1226</v>
      </c>
      <c r="G529" s="1" t="s">
        <v>20</v>
      </c>
      <c r="H529" s="9">
        <f>_xlfn.XLOOKUP(Tabla3[[#This Row],[Nit]],Hoja2!A529:A1952,Hoja2!C529:C1952)</f>
        <v>1000000</v>
      </c>
      <c r="I529" s="1">
        <f>_xlfn.XLOOKUP(Tabla3[[#This Row],[Cliente]],'[1]Datos Contacto'!$A$2:$A$23,'[1]Datos Contacto'!$E$2:$E$23,0,0,1)</f>
        <v>0</v>
      </c>
    </row>
    <row r="530" spans="1:9" x14ac:dyDescent="0.25">
      <c r="A530" s="1">
        <v>168</v>
      </c>
      <c r="B530" s="1" t="s">
        <v>545</v>
      </c>
      <c r="C530" s="1"/>
      <c r="D530" s="21" t="s">
        <v>1225</v>
      </c>
      <c r="E530" s="1" t="s">
        <v>9</v>
      </c>
      <c r="F530" s="1" t="s">
        <v>1226</v>
      </c>
      <c r="G530" s="1" t="s">
        <v>15</v>
      </c>
      <c r="H530" s="9">
        <f>_xlfn.XLOOKUP(Tabla3[[#This Row],[Nit]],Hoja2!A530:A1953,Hoja2!C530:C1953)</f>
        <v>1000000</v>
      </c>
      <c r="I530" s="1">
        <f>_xlfn.XLOOKUP(Tabla3[[#This Row],[Cliente]],'[1]Datos Contacto'!$A$2:$A$23,'[1]Datos Contacto'!$E$2:$E$23,0,0,1)</f>
        <v>0</v>
      </c>
    </row>
    <row r="531" spans="1:9" x14ac:dyDescent="0.25">
      <c r="A531" s="1">
        <v>901213855</v>
      </c>
      <c r="B531" s="1" t="s">
        <v>546</v>
      </c>
      <c r="C531" s="1"/>
      <c r="D531" s="21" t="s">
        <v>1225</v>
      </c>
      <c r="E531" s="1" t="s">
        <v>9</v>
      </c>
      <c r="F531" s="1" t="s">
        <v>1226</v>
      </c>
      <c r="G531" s="1" t="s">
        <v>20</v>
      </c>
      <c r="H531" s="9">
        <f>_xlfn.XLOOKUP(Tabla3[[#This Row],[Nit]],Hoja2!A531:A1954,Hoja2!C531:C1954)</f>
        <v>1000000</v>
      </c>
      <c r="I531" s="1">
        <f>_xlfn.XLOOKUP(Tabla3[[#This Row],[Cliente]],'[1]Datos Contacto'!$A$2:$A$23,'[1]Datos Contacto'!$E$2:$E$23,0,0,1)</f>
        <v>0</v>
      </c>
    </row>
    <row r="532" spans="1:9" x14ac:dyDescent="0.25">
      <c r="A532" s="1">
        <v>135</v>
      </c>
      <c r="B532" s="1" t="s">
        <v>547</v>
      </c>
      <c r="C532" s="1"/>
      <c r="D532" s="21" t="s">
        <v>1225</v>
      </c>
      <c r="E532" s="1" t="s">
        <v>9</v>
      </c>
      <c r="F532" s="1" t="s">
        <v>1226</v>
      </c>
      <c r="G532" s="1" t="s">
        <v>15</v>
      </c>
      <c r="H532" s="9">
        <f>_xlfn.XLOOKUP(Tabla3[[#This Row],[Nit]],Hoja2!A532:A1955,Hoja2!C532:C1955)</f>
        <v>1000000</v>
      </c>
      <c r="I532" s="1">
        <f>_xlfn.XLOOKUP(Tabla3[[#This Row],[Cliente]],'[1]Datos Contacto'!$A$2:$A$23,'[1]Datos Contacto'!$E$2:$E$23,0,0,1)</f>
        <v>0</v>
      </c>
    </row>
    <row r="533" spans="1:9" x14ac:dyDescent="0.25">
      <c r="A533" s="1">
        <v>420</v>
      </c>
      <c r="B533" s="1" t="s">
        <v>548</v>
      </c>
      <c r="C533" s="1"/>
      <c r="D533" s="21" t="s">
        <v>1225</v>
      </c>
      <c r="E533" s="1" t="s">
        <v>9</v>
      </c>
      <c r="F533" s="1" t="s">
        <v>1226</v>
      </c>
      <c r="G533" s="1" t="s">
        <v>11</v>
      </c>
      <c r="H533" s="9">
        <f>_xlfn.XLOOKUP(Tabla3[[#This Row],[Nit]],Hoja2!A533:A1956,Hoja2!C533:C1956)</f>
        <v>1000000</v>
      </c>
      <c r="I533" s="1">
        <f>_xlfn.XLOOKUP(Tabla3[[#This Row],[Cliente]],'[1]Datos Contacto'!$A$2:$A$23,'[1]Datos Contacto'!$E$2:$E$23,0,0,1)</f>
        <v>0</v>
      </c>
    </row>
    <row r="534" spans="1:9" x14ac:dyDescent="0.25">
      <c r="A534" s="1">
        <v>166</v>
      </c>
      <c r="B534" s="1" t="s">
        <v>549</v>
      </c>
      <c r="C534" s="1"/>
      <c r="D534" s="21" t="s">
        <v>1225</v>
      </c>
      <c r="E534" s="1" t="s">
        <v>9</v>
      </c>
      <c r="F534" s="1" t="s">
        <v>1226</v>
      </c>
      <c r="G534" s="1" t="s">
        <v>11</v>
      </c>
      <c r="H534" s="9">
        <f>_xlfn.XLOOKUP(Tabla3[[#This Row],[Nit]],Hoja2!A534:A1957,Hoja2!C534:C1957)</f>
        <v>4000000</v>
      </c>
      <c r="I534" s="1">
        <f>_xlfn.XLOOKUP(Tabla3[[#This Row],[Cliente]],'[1]Datos Contacto'!$A$2:$A$23,'[1]Datos Contacto'!$E$2:$E$23,0,0,1)</f>
        <v>0</v>
      </c>
    </row>
    <row r="535" spans="1:9" x14ac:dyDescent="0.25">
      <c r="A535" s="1">
        <v>17325742</v>
      </c>
      <c r="B535" s="1" t="s">
        <v>550</v>
      </c>
      <c r="C535" s="1"/>
      <c r="D535" s="21" t="s">
        <v>1225</v>
      </c>
      <c r="E535" s="1" t="s">
        <v>9</v>
      </c>
      <c r="F535" s="1" t="s">
        <v>1226</v>
      </c>
      <c r="G535" s="1" t="s">
        <v>11</v>
      </c>
      <c r="H535" s="9">
        <f>_xlfn.XLOOKUP(Tabla3[[#This Row],[Nit]],Hoja2!A535:A1958,Hoja2!C535:C1958)</f>
        <v>1000000</v>
      </c>
      <c r="I535" s="1">
        <f>_xlfn.XLOOKUP(Tabla3[[#This Row],[Cliente]],'[1]Datos Contacto'!$A$2:$A$23,'[1]Datos Contacto'!$E$2:$E$23,0,0,1)</f>
        <v>0</v>
      </c>
    </row>
    <row r="536" spans="1:9" x14ac:dyDescent="0.25">
      <c r="A536" s="1">
        <v>1072446372</v>
      </c>
      <c r="B536" s="1" t="s">
        <v>551</v>
      </c>
      <c r="C536" s="1"/>
      <c r="D536" s="21" t="s">
        <v>1225</v>
      </c>
      <c r="E536" s="1" t="s">
        <v>9</v>
      </c>
      <c r="F536" s="1" t="s">
        <v>1226</v>
      </c>
      <c r="G536" s="1" t="s">
        <v>20</v>
      </c>
      <c r="H536" s="9">
        <f>_xlfn.XLOOKUP(Tabla3[[#This Row],[Nit]],Hoja2!A536:A1959,Hoja2!C536:C1959)</f>
        <v>1000000</v>
      </c>
      <c r="I536" s="1">
        <f>_xlfn.XLOOKUP(Tabla3[[#This Row],[Cliente]],'[1]Datos Contacto'!$A$2:$A$23,'[1]Datos Contacto'!$E$2:$E$23,0,0,1)</f>
        <v>0</v>
      </c>
    </row>
    <row r="537" spans="1:9" x14ac:dyDescent="0.25">
      <c r="A537" s="1">
        <v>3105729695</v>
      </c>
      <c r="B537" s="1" t="s">
        <v>552</v>
      </c>
      <c r="C537" s="1"/>
      <c r="D537" s="21" t="s">
        <v>1225</v>
      </c>
      <c r="E537" s="1" t="s">
        <v>9</v>
      </c>
      <c r="F537" s="1" t="s">
        <v>1226</v>
      </c>
      <c r="G537" s="1" t="s">
        <v>11</v>
      </c>
      <c r="H537" s="9">
        <f>_xlfn.XLOOKUP(Tabla3[[#This Row],[Nit]],Hoja2!A537:A1960,Hoja2!C537:C1960)</f>
        <v>1000000</v>
      </c>
      <c r="I537" s="1">
        <f>_xlfn.XLOOKUP(Tabla3[[#This Row],[Cliente]],'[1]Datos Contacto'!$A$2:$A$23,'[1]Datos Contacto'!$E$2:$E$23,0,0,1)</f>
        <v>0</v>
      </c>
    </row>
    <row r="538" spans="1:9" x14ac:dyDescent="0.25">
      <c r="A538" s="1">
        <v>52183293</v>
      </c>
      <c r="B538" s="1" t="s">
        <v>553</v>
      </c>
      <c r="C538" s="1"/>
      <c r="D538" s="21" t="s">
        <v>1225</v>
      </c>
      <c r="E538" s="1" t="s">
        <v>9</v>
      </c>
      <c r="F538" s="1" t="s">
        <v>1226</v>
      </c>
      <c r="G538" s="1" t="s">
        <v>15</v>
      </c>
      <c r="H538" s="9">
        <f>_xlfn.XLOOKUP(Tabla3[[#This Row],[Nit]],Hoja2!A538:A1961,Hoja2!C538:C1961)</f>
        <v>1000000</v>
      </c>
      <c r="I538" s="1">
        <f>_xlfn.XLOOKUP(Tabla3[[#This Row],[Cliente]],'[1]Datos Contacto'!$A$2:$A$23,'[1]Datos Contacto'!$E$2:$E$23,0,0,1)</f>
        <v>0</v>
      </c>
    </row>
    <row r="539" spans="1:9" x14ac:dyDescent="0.25">
      <c r="A539" s="1">
        <v>28821756</v>
      </c>
      <c r="B539" s="1" t="s">
        <v>554</v>
      </c>
      <c r="C539" s="1"/>
      <c r="D539" s="21" t="s">
        <v>1225</v>
      </c>
      <c r="E539" s="1" t="s">
        <v>9</v>
      </c>
      <c r="F539" s="1" t="s">
        <v>1226</v>
      </c>
      <c r="G539" s="1" t="s">
        <v>11</v>
      </c>
      <c r="H539" s="9">
        <f>_xlfn.XLOOKUP(Tabla3[[#This Row],[Nit]],Hoja2!A539:A1962,Hoja2!C539:C1962)</f>
        <v>1000000</v>
      </c>
      <c r="I539" s="1">
        <f>_xlfn.XLOOKUP(Tabla3[[#This Row],[Cliente]],'[1]Datos Contacto'!$A$2:$A$23,'[1]Datos Contacto'!$E$2:$E$23,0,0,1)</f>
        <v>0</v>
      </c>
    </row>
    <row r="540" spans="1:9" x14ac:dyDescent="0.25">
      <c r="A540" s="1">
        <v>1018426426</v>
      </c>
      <c r="B540" s="1" t="s">
        <v>555</v>
      </c>
      <c r="C540" s="1"/>
      <c r="D540" s="21" t="s">
        <v>1225</v>
      </c>
      <c r="E540" s="1" t="s">
        <v>9</v>
      </c>
      <c r="F540" s="1" t="s">
        <v>1226</v>
      </c>
      <c r="G540" s="1" t="s">
        <v>7</v>
      </c>
      <c r="H540" s="9">
        <f>_xlfn.XLOOKUP(Tabla3[[#This Row],[Nit]],Hoja2!A540:A1963,Hoja2!C540:C1963)</f>
        <v>1000000</v>
      </c>
      <c r="I540" s="1">
        <f>_xlfn.XLOOKUP(Tabla3[[#This Row],[Cliente]],'[1]Datos Contacto'!$A$2:$A$23,'[1]Datos Contacto'!$E$2:$E$23,0,0,1)</f>
        <v>0</v>
      </c>
    </row>
    <row r="541" spans="1:9" x14ac:dyDescent="0.25">
      <c r="A541" s="1">
        <v>35462974</v>
      </c>
      <c r="B541" s="1" t="s">
        <v>556</v>
      </c>
      <c r="C541" s="1"/>
      <c r="D541" s="21" t="s">
        <v>1225</v>
      </c>
      <c r="E541" s="1" t="s">
        <v>9</v>
      </c>
      <c r="F541" s="1" t="s">
        <v>1226</v>
      </c>
      <c r="G541" s="1" t="s">
        <v>15</v>
      </c>
      <c r="H541" s="9">
        <f>_xlfn.XLOOKUP(Tabla3[[#This Row],[Nit]],Hoja2!A541:A1964,Hoja2!C541:C1964)</f>
        <v>1000000</v>
      </c>
      <c r="I541" s="1">
        <f>_xlfn.XLOOKUP(Tabla3[[#This Row],[Cliente]],'[1]Datos Contacto'!$A$2:$A$23,'[1]Datos Contacto'!$E$2:$E$23,0,0,1)</f>
        <v>0</v>
      </c>
    </row>
    <row r="542" spans="1:9" x14ac:dyDescent="0.25">
      <c r="A542" s="1">
        <v>1007333077</v>
      </c>
      <c r="B542" s="1" t="s">
        <v>557</v>
      </c>
      <c r="C542" s="1"/>
      <c r="D542" s="21" t="s">
        <v>1225</v>
      </c>
      <c r="E542" s="1" t="s">
        <v>9</v>
      </c>
      <c r="F542" s="1" t="s">
        <v>1226</v>
      </c>
      <c r="G542" s="1" t="s">
        <v>48</v>
      </c>
      <c r="H542" s="9">
        <f>_xlfn.XLOOKUP(Tabla3[[#This Row],[Nit]],Hoja2!A542:A1965,Hoja2!C542:C1965)</f>
        <v>1000000</v>
      </c>
      <c r="I542" s="1">
        <f>_xlfn.XLOOKUP(Tabla3[[#This Row],[Cliente]],'[1]Datos Contacto'!$A$2:$A$23,'[1]Datos Contacto'!$E$2:$E$23,0,0,1)</f>
        <v>0</v>
      </c>
    </row>
    <row r="543" spans="1:9" x14ac:dyDescent="0.25">
      <c r="A543" s="1">
        <v>51889864</v>
      </c>
      <c r="B543" s="1" t="s">
        <v>558</v>
      </c>
      <c r="C543" s="1"/>
      <c r="D543" s="21" t="s">
        <v>1225</v>
      </c>
      <c r="E543" s="1" t="s">
        <v>9</v>
      </c>
      <c r="F543" s="1" t="s">
        <v>1226</v>
      </c>
      <c r="G543" s="1" t="s">
        <v>7</v>
      </c>
      <c r="H543" s="9">
        <f>_xlfn.XLOOKUP(Tabla3[[#This Row],[Nit]],Hoja2!A543:A1966,Hoja2!C543:C1966)</f>
        <v>3000000</v>
      </c>
      <c r="I543" s="1">
        <f>_xlfn.XLOOKUP(Tabla3[[#This Row],[Cliente]],'[1]Datos Contacto'!$A$2:$A$23,'[1]Datos Contacto'!$E$2:$E$23,0,0,1)</f>
        <v>0</v>
      </c>
    </row>
    <row r="544" spans="1:9" x14ac:dyDescent="0.25">
      <c r="A544" s="1">
        <v>466</v>
      </c>
      <c r="B544" s="1" t="s">
        <v>559</v>
      </c>
      <c r="C544" s="1"/>
      <c r="D544" s="21" t="s">
        <v>1225</v>
      </c>
      <c r="E544" s="1" t="s">
        <v>9</v>
      </c>
      <c r="F544" s="1" t="s">
        <v>1226</v>
      </c>
      <c r="G544" s="1" t="s">
        <v>20</v>
      </c>
      <c r="H544" s="9">
        <f>_xlfn.XLOOKUP(Tabla3[[#This Row],[Nit]],Hoja2!A544:A1967,Hoja2!C544:C1967)</f>
        <v>1000000</v>
      </c>
      <c r="I544" s="1">
        <f>_xlfn.XLOOKUP(Tabla3[[#This Row],[Cliente]],'[1]Datos Contacto'!$A$2:$A$23,'[1]Datos Contacto'!$E$2:$E$23,0,0,1)</f>
        <v>0</v>
      </c>
    </row>
    <row r="545" spans="1:9" x14ac:dyDescent="0.25">
      <c r="A545" s="1">
        <v>24047748</v>
      </c>
      <c r="B545" s="1" t="s">
        <v>560</v>
      </c>
      <c r="C545" s="1"/>
      <c r="D545" s="21" t="s">
        <v>1225</v>
      </c>
      <c r="E545" s="1" t="s">
        <v>9</v>
      </c>
      <c r="F545" s="1" t="s">
        <v>1226</v>
      </c>
      <c r="G545" s="1" t="s">
        <v>11</v>
      </c>
      <c r="H545" s="9">
        <f>_xlfn.XLOOKUP(Tabla3[[#This Row],[Nit]],Hoja2!A545:A1968,Hoja2!C545:C1968)</f>
        <v>1000000</v>
      </c>
      <c r="I545" s="1">
        <f>_xlfn.XLOOKUP(Tabla3[[#This Row],[Cliente]],'[1]Datos Contacto'!$A$2:$A$23,'[1]Datos Contacto'!$E$2:$E$23,0,0,1)</f>
        <v>0</v>
      </c>
    </row>
    <row r="546" spans="1:9" x14ac:dyDescent="0.25">
      <c r="A546" s="1">
        <v>59677169</v>
      </c>
      <c r="B546" s="1" t="s">
        <v>561</v>
      </c>
      <c r="C546" s="1"/>
      <c r="D546" s="21" t="s">
        <v>1225</v>
      </c>
      <c r="E546" s="1" t="s">
        <v>9</v>
      </c>
      <c r="F546" s="1" t="s">
        <v>1226</v>
      </c>
      <c r="G546" s="1" t="s">
        <v>11</v>
      </c>
      <c r="H546" s="9">
        <f>_xlfn.XLOOKUP(Tabla3[[#This Row],[Nit]],Hoja2!A546:A1969,Hoja2!C546:C1969)</f>
        <v>1000000</v>
      </c>
      <c r="I546" s="1">
        <f>_xlfn.XLOOKUP(Tabla3[[#This Row],[Cliente]],'[1]Datos Contacto'!$A$2:$A$23,'[1]Datos Contacto'!$E$2:$E$23,0,0,1)</f>
        <v>0</v>
      </c>
    </row>
    <row r="547" spans="1:9" x14ac:dyDescent="0.25">
      <c r="A547" s="1">
        <v>39686223</v>
      </c>
      <c r="B547" s="1" t="s">
        <v>562</v>
      </c>
      <c r="C547" s="1"/>
      <c r="D547" s="21" t="s">
        <v>1225</v>
      </c>
      <c r="E547" s="1" t="s">
        <v>9</v>
      </c>
      <c r="F547" s="1" t="s">
        <v>1226</v>
      </c>
      <c r="G547" s="1" t="s">
        <v>7</v>
      </c>
      <c r="H547" s="9">
        <f>_xlfn.XLOOKUP(Tabla3[[#This Row],[Nit]],Hoja2!A547:A1970,Hoja2!C547:C1970)</f>
        <v>1000000</v>
      </c>
      <c r="I547" s="1">
        <f>_xlfn.XLOOKUP(Tabla3[[#This Row],[Cliente]],'[1]Datos Contacto'!$A$2:$A$23,'[1]Datos Contacto'!$E$2:$E$23,0,0,1)</f>
        <v>0</v>
      </c>
    </row>
    <row r="548" spans="1:9" x14ac:dyDescent="0.25">
      <c r="A548" s="1">
        <v>51553563</v>
      </c>
      <c r="B548" s="1" t="s">
        <v>563</v>
      </c>
      <c r="C548" s="1"/>
      <c r="D548" s="21" t="s">
        <v>1225</v>
      </c>
      <c r="E548" s="1" t="s">
        <v>9</v>
      </c>
      <c r="F548" s="1" t="s">
        <v>1226</v>
      </c>
      <c r="G548" s="1" t="s">
        <v>48</v>
      </c>
      <c r="H548" s="9">
        <f>_xlfn.XLOOKUP(Tabla3[[#This Row],[Nit]],Hoja2!A548:A1971,Hoja2!C548:C1971)</f>
        <v>1000000</v>
      </c>
      <c r="I548" s="1">
        <f>_xlfn.XLOOKUP(Tabla3[[#This Row],[Cliente]],'[1]Datos Contacto'!$A$2:$A$23,'[1]Datos Contacto'!$E$2:$E$23,0,0,1)</f>
        <v>0</v>
      </c>
    </row>
    <row r="549" spans="1:9" x14ac:dyDescent="0.25">
      <c r="A549" s="1">
        <v>1032428461</v>
      </c>
      <c r="B549" s="1" t="s">
        <v>564</v>
      </c>
      <c r="C549" s="1"/>
      <c r="D549" s="21" t="s">
        <v>1225</v>
      </c>
      <c r="E549" s="1" t="s">
        <v>6</v>
      </c>
      <c r="F549" s="1" t="s">
        <v>1226</v>
      </c>
      <c r="G549" s="1" t="s">
        <v>20</v>
      </c>
      <c r="H549" s="9">
        <f>_xlfn.XLOOKUP(Tabla3[[#This Row],[Nit]],Hoja2!A549:A1972,Hoja2!C549:C1972)</f>
        <v>1000000</v>
      </c>
      <c r="I549" s="1">
        <f>_xlfn.XLOOKUP(Tabla3[[#This Row],[Cliente]],'[1]Datos Contacto'!$A$2:$A$23,'[1]Datos Contacto'!$E$2:$E$23,0,0,1)</f>
        <v>0</v>
      </c>
    </row>
    <row r="550" spans="1:9" x14ac:dyDescent="0.25">
      <c r="A550" s="1">
        <v>600</v>
      </c>
      <c r="B550" s="1" t="s">
        <v>565</v>
      </c>
      <c r="C550" s="1"/>
      <c r="D550" s="21" t="s">
        <v>1225</v>
      </c>
      <c r="E550" s="1" t="s">
        <v>9</v>
      </c>
      <c r="F550" s="1" t="s">
        <v>1226</v>
      </c>
      <c r="G550" s="1" t="s">
        <v>11</v>
      </c>
      <c r="H550" s="9">
        <f>_xlfn.XLOOKUP(Tabla3[[#This Row],[Nit]],Hoja2!A550:A1973,Hoja2!C550:C1973)</f>
        <v>1000000</v>
      </c>
      <c r="I550" s="1">
        <f>_xlfn.XLOOKUP(Tabla3[[#This Row],[Cliente]],'[1]Datos Contacto'!$A$2:$A$23,'[1]Datos Contacto'!$E$2:$E$23,0,0,1)</f>
        <v>0</v>
      </c>
    </row>
    <row r="551" spans="1:9" x14ac:dyDescent="0.25">
      <c r="A551" s="1">
        <v>52972205</v>
      </c>
      <c r="B551" s="1" t="s">
        <v>566</v>
      </c>
      <c r="C551" s="1"/>
      <c r="D551" s="21" t="s">
        <v>1225</v>
      </c>
      <c r="E551" s="1" t="s">
        <v>9</v>
      </c>
      <c r="F551" s="1" t="s">
        <v>1226</v>
      </c>
      <c r="G551" s="1" t="s">
        <v>11</v>
      </c>
      <c r="H551" s="9">
        <f>_xlfn.XLOOKUP(Tabla3[[#This Row],[Nit]],Hoja2!A551:A1974,Hoja2!C551:C1974)</f>
        <v>5000000</v>
      </c>
      <c r="I551" s="1">
        <f>_xlfn.XLOOKUP(Tabla3[[#This Row],[Cliente]],'[1]Datos Contacto'!$A$2:$A$23,'[1]Datos Contacto'!$E$2:$E$23,0,0,1)</f>
        <v>0</v>
      </c>
    </row>
    <row r="552" spans="1:9" x14ac:dyDescent="0.25">
      <c r="A552" s="1">
        <v>93205060</v>
      </c>
      <c r="B552" s="1" t="s">
        <v>567</v>
      </c>
      <c r="C552" s="1"/>
      <c r="D552" s="21" t="s">
        <v>1225</v>
      </c>
      <c r="E552" s="1" t="s">
        <v>9</v>
      </c>
      <c r="F552" s="1" t="s">
        <v>1226</v>
      </c>
      <c r="G552" s="1" t="s">
        <v>15</v>
      </c>
      <c r="H552" s="9">
        <f>_xlfn.XLOOKUP(Tabla3[[#This Row],[Nit]],Hoja2!A552:A1975,Hoja2!C552:C1975)</f>
        <v>1000000</v>
      </c>
      <c r="I552" s="1">
        <f>_xlfn.XLOOKUP(Tabla3[[#This Row],[Cliente]],'[1]Datos Contacto'!$A$2:$A$23,'[1]Datos Contacto'!$E$2:$E$23,0,0,1)</f>
        <v>0</v>
      </c>
    </row>
    <row r="553" spans="1:9" x14ac:dyDescent="0.25">
      <c r="A553" s="1">
        <v>60412164</v>
      </c>
      <c r="B553" s="1" t="s">
        <v>568</v>
      </c>
      <c r="C553" s="1"/>
      <c r="D553" s="21" t="s">
        <v>1225</v>
      </c>
      <c r="E553" s="1" t="s">
        <v>9</v>
      </c>
      <c r="F553" s="1" t="s">
        <v>1226</v>
      </c>
      <c r="G553" s="1" t="s">
        <v>7</v>
      </c>
      <c r="H553" s="9">
        <f>_xlfn.XLOOKUP(Tabla3[[#This Row],[Nit]],Hoja2!A553:A1976,Hoja2!C553:C1976)</f>
        <v>1000000</v>
      </c>
      <c r="I553" s="1">
        <f>_xlfn.XLOOKUP(Tabla3[[#This Row],[Cliente]],'[1]Datos Contacto'!$A$2:$A$23,'[1]Datos Contacto'!$E$2:$E$23,0,0,1)</f>
        <v>0</v>
      </c>
    </row>
    <row r="554" spans="1:9" x14ac:dyDescent="0.25">
      <c r="A554" s="1">
        <v>60290618</v>
      </c>
      <c r="B554" s="1" t="s">
        <v>569</v>
      </c>
      <c r="C554" s="1"/>
      <c r="D554" s="21" t="s">
        <v>1225</v>
      </c>
      <c r="E554" s="1" t="s">
        <v>9</v>
      </c>
      <c r="F554" s="1" t="s">
        <v>1226</v>
      </c>
      <c r="G554" s="1" t="s">
        <v>7</v>
      </c>
      <c r="H554" s="9">
        <f>_xlfn.XLOOKUP(Tabla3[[#This Row],[Nit]],Hoja2!A554:A1977,Hoja2!C554:C1977)</f>
        <v>1000000</v>
      </c>
      <c r="I554" s="1">
        <f>_xlfn.XLOOKUP(Tabla3[[#This Row],[Cliente]],'[1]Datos Contacto'!$A$2:$A$23,'[1]Datos Contacto'!$E$2:$E$23,0,0,1)</f>
        <v>0</v>
      </c>
    </row>
    <row r="555" spans="1:9" x14ac:dyDescent="0.25">
      <c r="A555" s="1">
        <v>353</v>
      </c>
      <c r="B555" s="1" t="s">
        <v>570</v>
      </c>
      <c r="C555" s="1"/>
      <c r="D555" s="21" t="s">
        <v>1225</v>
      </c>
      <c r="E555" s="1" t="s">
        <v>9</v>
      </c>
      <c r="F555" s="1" t="s">
        <v>1226</v>
      </c>
      <c r="G555" s="1" t="s">
        <v>11</v>
      </c>
      <c r="H555" s="9">
        <f>_xlfn.XLOOKUP(Tabla3[[#This Row],[Nit]],Hoja2!A555:A1978,Hoja2!C555:C1978)</f>
        <v>1000000</v>
      </c>
      <c r="I555" s="1">
        <f>_xlfn.XLOOKUP(Tabla3[[#This Row],[Cliente]],'[1]Datos Contacto'!$A$2:$A$23,'[1]Datos Contacto'!$E$2:$E$23,0,0,1)</f>
        <v>0</v>
      </c>
    </row>
    <row r="556" spans="1:9" x14ac:dyDescent="0.25">
      <c r="A556" s="1">
        <v>52701762</v>
      </c>
      <c r="B556" s="1" t="s">
        <v>571</v>
      </c>
      <c r="C556" s="1"/>
      <c r="D556" s="21" t="s">
        <v>1225</v>
      </c>
      <c r="E556" s="1" t="s">
        <v>9</v>
      </c>
      <c r="F556" s="1" t="s">
        <v>1226</v>
      </c>
      <c r="G556" s="1" t="s">
        <v>11</v>
      </c>
      <c r="H556" s="9">
        <f>_xlfn.XLOOKUP(Tabla3[[#This Row],[Nit]],Hoja2!A556:A1979,Hoja2!C556:C1979)</f>
        <v>1000000</v>
      </c>
      <c r="I556" s="1">
        <f>_xlfn.XLOOKUP(Tabla3[[#This Row],[Cliente]],'[1]Datos Contacto'!$A$2:$A$23,'[1]Datos Contacto'!$E$2:$E$23,0,0,1)</f>
        <v>0</v>
      </c>
    </row>
    <row r="557" spans="1:9" x14ac:dyDescent="0.25">
      <c r="A557" s="1">
        <v>901301210</v>
      </c>
      <c r="B557" s="1" t="s">
        <v>572</v>
      </c>
      <c r="C557" s="1"/>
      <c r="D557" s="21" t="s">
        <v>1225</v>
      </c>
      <c r="E557" s="1" t="s">
        <v>79</v>
      </c>
      <c r="F557" s="1" t="s">
        <v>1226</v>
      </c>
      <c r="G557" s="1" t="s">
        <v>11</v>
      </c>
      <c r="H557" s="9">
        <f>_xlfn.XLOOKUP(Tabla3[[#This Row],[Nit]],Hoja2!A557:A1980,Hoja2!C557:C1980)</f>
        <v>1000000</v>
      </c>
      <c r="I557" s="1">
        <f>_xlfn.XLOOKUP(Tabla3[[#This Row],[Cliente]],'[1]Datos Contacto'!$A$2:$A$23,'[1]Datos Contacto'!$E$2:$E$23,0,0,1)</f>
        <v>0</v>
      </c>
    </row>
    <row r="558" spans="1:9" x14ac:dyDescent="0.25">
      <c r="A558" s="1">
        <v>12345678</v>
      </c>
      <c r="B558" s="1" t="s">
        <v>573</v>
      </c>
      <c r="C558" s="1"/>
      <c r="D558" s="21" t="s">
        <v>1225</v>
      </c>
      <c r="E558" s="1" t="s">
        <v>9</v>
      </c>
      <c r="F558" s="1" t="s">
        <v>1226</v>
      </c>
      <c r="G558" s="1" t="s">
        <v>15</v>
      </c>
      <c r="H558" s="9">
        <f>_xlfn.XLOOKUP(Tabla3[[#This Row],[Nit]],Hoja2!A558:A1981,Hoja2!C558:C1981)</f>
        <v>1000000</v>
      </c>
      <c r="I558" s="1">
        <f>_xlfn.XLOOKUP(Tabla3[[#This Row],[Cliente]],'[1]Datos Contacto'!$A$2:$A$23,'[1]Datos Contacto'!$E$2:$E$23,0,0,1)</f>
        <v>0</v>
      </c>
    </row>
    <row r="559" spans="1:9" x14ac:dyDescent="0.25">
      <c r="A559" s="1">
        <v>1110501064</v>
      </c>
      <c r="B559" s="1" t="s">
        <v>574</v>
      </c>
      <c r="C559" s="1"/>
      <c r="D559" s="21" t="s">
        <v>1225</v>
      </c>
      <c r="E559" s="1" t="s">
        <v>9</v>
      </c>
      <c r="F559" s="1" t="s">
        <v>1226</v>
      </c>
      <c r="G559" s="1" t="s">
        <v>15</v>
      </c>
      <c r="H559" s="9">
        <f>_xlfn.XLOOKUP(Tabla3[[#This Row],[Nit]],Hoja2!A559:A1982,Hoja2!C559:C1982)</f>
        <v>1000000</v>
      </c>
      <c r="I559" s="1">
        <f>_xlfn.XLOOKUP(Tabla3[[#This Row],[Cliente]],'[1]Datos Contacto'!$A$2:$A$23,'[1]Datos Contacto'!$E$2:$E$23,0,0,1)</f>
        <v>0</v>
      </c>
    </row>
    <row r="560" spans="1:9" x14ac:dyDescent="0.25">
      <c r="A560" s="1">
        <v>51716156</v>
      </c>
      <c r="B560" s="1" t="s">
        <v>575</v>
      </c>
      <c r="C560" s="1"/>
      <c r="D560" s="21" t="s">
        <v>1225</v>
      </c>
      <c r="E560" s="1" t="s">
        <v>9</v>
      </c>
      <c r="F560" s="1" t="s">
        <v>1226</v>
      </c>
      <c r="G560" s="1" t="s">
        <v>11</v>
      </c>
      <c r="H560" s="9">
        <f>_xlfn.XLOOKUP(Tabla3[[#This Row],[Nit]],Hoja2!A560:A1983,Hoja2!C560:C1983)</f>
        <v>1000000</v>
      </c>
      <c r="I560" s="1">
        <f>_xlfn.XLOOKUP(Tabla3[[#This Row],[Cliente]],'[1]Datos Contacto'!$A$2:$A$23,'[1]Datos Contacto'!$E$2:$E$23,0,0,1)</f>
        <v>0</v>
      </c>
    </row>
    <row r="561" spans="1:9" x14ac:dyDescent="0.25">
      <c r="A561" s="1">
        <v>901473991</v>
      </c>
      <c r="B561" s="1" t="s">
        <v>576</v>
      </c>
      <c r="C561" s="1"/>
      <c r="D561" s="21" t="s">
        <v>1225</v>
      </c>
      <c r="E561" s="1" t="s">
        <v>9</v>
      </c>
      <c r="F561" s="1" t="s">
        <v>1226</v>
      </c>
      <c r="G561" s="1" t="s">
        <v>11</v>
      </c>
      <c r="H561" s="9">
        <f>_xlfn.XLOOKUP(Tabla3[[#This Row],[Nit]],Hoja2!A561:A1984,Hoja2!C561:C1984)</f>
        <v>1000000</v>
      </c>
      <c r="I561" s="1">
        <f>_xlfn.XLOOKUP(Tabla3[[#This Row],[Cliente]],'[1]Datos Contacto'!$A$2:$A$23,'[1]Datos Contacto'!$E$2:$E$23,0,0,1)</f>
        <v>0</v>
      </c>
    </row>
    <row r="562" spans="1:9" x14ac:dyDescent="0.25">
      <c r="A562" s="1">
        <v>1072702295</v>
      </c>
      <c r="B562" s="1" t="s">
        <v>577</v>
      </c>
      <c r="C562" s="1"/>
      <c r="D562" s="21" t="s">
        <v>1225</v>
      </c>
      <c r="E562" s="1" t="s">
        <v>9</v>
      </c>
      <c r="F562" s="1" t="s">
        <v>1226</v>
      </c>
      <c r="G562" s="1" t="s">
        <v>48</v>
      </c>
      <c r="H562" s="9">
        <f>_xlfn.XLOOKUP(Tabla3[[#This Row],[Nit]],Hoja2!A562:A1985,Hoja2!C562:C1985)</f>
        <v>1000000</v>
      </c>
      <c r="I562" s="1">
        <f>_xlfn.XLOOKUP(Tabla3[[#This Row],[Cliente]],'[1]Datos Contacto'!$A$2:$A$23,'[1]Datos Contacto'!$E$2:$E$23,0,0,1)</f>
        <v>0</v>
      </c>
    </row>
    <row r="563" spans="1:9" x14ac:dyDescent="0.25">
      <c r="A563" s="1">
        <v>12364598</v>
      </c>
      <c r="B563" s="1" t="s">
        <v>578</v>
      </c>
      <c r="C563" s="1"/>
      <c r="D563" s="21" t="s">
        <v>1225</v>
      </c>
      <c r="E563" s="1" t="s">
        <v>9</v>
      </c>
      <c r="F563" s="1" t="s">
        <v>1226</v>
      </c>
      <c r="G563" s="1" t="s">
        <v>11</v>
      </c>
      <c r="H563" s="9">
        <f>_xlfn.XLOOKUP(Tabla3[[#This Row],[Nit]],Hoja2!A563:A1986,Hoja2!C563:C1986)</f>
        <v>1000000</v>
      </c>
      <c r="I563" s="1">
        <f>_xlfn.XLOOKUP(Tabla3[[#This Row],[Cliente]],'[1]Datos Contacto'!$A$2:$A$23,'[1]Datos Contacto'!$E$2:$E$23,0,0,1)</f>
        <v>0</v>
      </c>
    </row>
    <row r="564" spans="1:9" x14ac:dyDescent="0.25">
      <c r="A564" s="1">
        <v>139</v>
      </c>
      <c r="B564" s="1" t="s">
        <v>579</v>
      </c>
      <c r="C564" s="1"/>
      <c r="D564" s="21" t="s">
        <v>1225</v>
      </c>
      <c r="E564" s="1" t="s">
        <v>9</v>
      </c>
      <c r="F564" s="1" t="s">
        <v>1226</v>
      </c>
      <c r="G564" s="1" t="s">
        <v>11</v>
      </c>
      <c r="H564" s="9">
        <f>_xlfn.XLOOKUP(Tabla3[[#This Row],[Nit]],Hoja2!A564:A1987,Hoja2!C564:C1987)</f>
        <v>1000000</v>
      </c>
      <c r="I564" s="1">
        <f>_xlfn.XLOOKUP(Tabla3[[#This Row],[Cliente]],'[1]Datos Contacto'!$A$2:$A$23,'[1]Datos Contacto'!$E$2:$E$23,0,0,1)</f>
        <v>0</v>
      </c>
    </row>
    <row r="565" spans="1:9" x14ac:dyDescent="0.25">
      <c r="A565" s="1">
        <v>1030592719</v>
      </c>
      <c r="B565" s="1" t="s">
        <v>580</v>
      </c>
      <c r="C565" s="1"/>
      <c r="D565" s="21" t="s">
        <v>1225</v>
      </c>
      <c r="E565" s="1" t="s">
        <v>9</v>
      </c>
      <c r="F565" s="1" t="s">
        <v>1226</v>
      </c>
      <c r="G565" s="1" t="s">
        <v>36</v>
      </c>
      <c r="H565" s="9">
        <f>_xlfn.XLOOKUP(Tabla3[[#This Row],[Nit]],Hoja2!A565:A1988,Hoja2!C565:C1988)</f>
        <v>1000000</v>
      </c>
      <c r="I565" s="1">
        <f>_xlfn.XLOOKUP(Tabla3[[#This Row],[Cliente]],'[1]Datos Contacto'!$A$2:$A$23,'[1]Datos Contacto'!$E$2:$E$23,0,0,1)</f>
        <v>0</v>
      </c>
    </row>
    <row r="566" spans="1:9" x14ac:dyDescent="0.25">
      <c r="A566" s="1">
        <v>179</v>
      </c>
      <c r="B566" s="1" t="s">
        <v>581</v>
      </c>
      <c r="C566" s="1"/>
      <c r="D566" s="21" t="s">
        <v>1225</v>
      </c>
      <c r="E566" s="1" t="s">
        <v>9</v>
      </c>
      <c r="F566" s="1" t="s">
        <v>1226</v>
      </c>
      <c r="G566" s="1" t="s">
        <v>36</v>
      </c>
      <c r="H566" s="9">
        <f>_xlfn.XLOOKUP(Tabla3[[#This Row],[Nit]],Hoja2!A566:A1989,Hoja2!C566:C1989)</f>
        <v>1000000</v>
      </c>
      <c r="I566" s="1">
        <f>_xlfn.XLOOKUP(Tabla3[[#This Row],[Cliente]],'[1]Datos Contacto'!$A$2:$A$23,'[1]Datos Contacto'!$E$2:$E$23,0,0,1)</f>
        <v>0</v>
      </c>
    </row>
    <row r="567" spans="1:9" x14ac:dyDescent="0.25">
      <c r="A567" s="1">
        <v>80001539</v>
      </c>
      <c r="B567" s="1" t="s">
        <v>582</v>
      </c>
      <c r="C567" s="1"/>
      <c r="D567" s="21" t="s">
        <v>1225</v>
      </c>
      <c r="E567" s="1" t="s">
        <v>9</v>
      </c>
      <c r="F567" s="1" t="s">
        <v>1226</v>
      </c>
      <c r="G567" s="1" t="s">
        <v>15</v>
      </c>
      <c r="H567" s="9">
        <f>_xlfn.XLOOKUP(Tabla3[[#This Row],[Nit]],Hoja2!A567:A1990,Hoja2!C567:C1990)</f>
        <v>1000000</v>
      </c>
      <c r="I567" s="1">
        <f>_xlfn.XLOOKUP(Tabla3[[#This Row],[Cliente]],'[1]Datos Contacto'!$A$2:$A$23,'[1]Datos Contacto'!$E$2:$E$23,0,0,1)</f>
        <v>0</v>
      </c>
    </row>
    <row r="568" spans="1:9" x14ac:dyDescent="0.25">
      <c r="A568" s="1">
        <v>80431678</v>
      </c>
      <c r="B568" s="1" t="s">
        <v>583</v>
      </c>
      <c r="C568" s="1"/>
      <c r="D568" s="21" t="s">
        <v>1225</v>
      </c>
      <c r="E568" s="1" t="s">
        <v>9</v>
      </c>
      <c r="F568" s="1" t="s">
        <v>1226</v>
      </c>
      <c r="G568" s="1" t="s">
        <v>7</v>
      </c>
      <c r="H568" s="9">
        <f>_xlfn.XLOOKUP(Tabla3[[#This Row],[Nit]],Hoja2!A568:A1991,Hoja2!C568:C1991)</f>
        <v>1000000</v>
      </c>
      <c r="I568" s="1">
        <f>_xlfn.XLOOKUP(Tabla3[[#This Row],[Cliente]],'[1]Datos Contacto'!$A$2:$A$23,'[1]Datos Contacto'!$E$2:$E$23,0,0,1)</f>
        <v>0</v>
      </c>
    </row>
    <row r="569" spans="1:9" x14ac:dyDescent="0.25">
      <c r="A569" s="1">
        <v>80441106</v>
      </c>
      <c r="B569" s="1" t="s">
        <v>584</v>
      </c>
      <c r="C569" s="1"/>
      <c r="D569" s="21" t="s">
        <v>1225</v>
      </c>
      <c r="E569" s="1" t="s">
        <v>9</v>
      </c>
      <c r="F569" s="1" t="s">
        <v>1226</v>
      </c>
      <c r="G569" s="1" t="s">
        <v>20</v>
      </c>
      <c r="H569" s="9">
        <f>_xlfn.XLOOKUP(Tabla3[[#This Row],[Nit]],Hoja2!A569:A1992,Hoja2!C569:C1992)</f>
        <v>1000000</v>
      </c>
      <c r="I569" s="1">
        <f>_xlfn.XLOOKUP(Tabla3[[#This Row],[Cliente]],'[1]Datos Contacto'!$A$2:$A$23,'[1]Datos Contacto'!$E$2:$E$23,0,0,1)</f>
        <v>0</v>
      </c>
    </row>
    <row r="570" spans="1:9" x14ac:dyDescent="0.25">
      <c r="A570" s="1">
        <v>901161480</v>
      </c>
      <c r="B570" s="1" t="s">
        <v>585</v>
      </c>
      <c r="C570" s="1"/>
      <c r="D570" s="21" t="s">
        <v>1225</v>
      </c>
      <c r="E570" s="1" t="s">
        <v>9</v>
      </c>
      <c r="F570" s="1" t="s">
        <v>1226</v>
      </c>
      <c r="G570" s="1" t="s">
        <v>7</v>
      </c>
      <c r="H570" s="9">
        <f>_xlfn.XLOOKUP(Tabla3[[#This Row],[Nit]],Hoja2!A570:A1993,Hoja2!C570:C1993)</f>
        <v>1000000</v>
      </c>
      <c r="I570" s="1">
        <f>_xlfn.XLOOKUP(Tabla3[[#This Row],[Cliente]],'[1]Datos Contacto'!$A$2:$A$23,'[1]Datos Contacto'!$E$2:$E$23,0,0,1)</f>
        <v>0</v>
      </c>
    </row>
    <row r="571" spans="1:9" x14ac:dyDescent="0.25">
      <c r="A571" s="1">
        <v>800106774</v>
      </c>
      <c r="B571" s="1" t="s">
        <v>586</v>
      </c>
      <c r="C571" s="1"/>
      <c r="D571" s="21" t="s">
        <v>1225</v>
      </c>
      <c r="E571" s="1" t="s">
        <v>9</v>
      </c>
      <c r="F571" s="1" t="s">
        <v>1226</v>
      </c>
      <c r="G571" s="1" t="s">
        <v>36</v>
      </c>
      <c r="H571" s="9">
        <f>_xlfn.XLOOKUP(Tabla3[[#This Row],[Nit]],Hoja2!A571:A1994,Hoja2!C571:C1994)</f>
        <v>1000000</v>
      </c>
      <c r="I571" s="1">
        <f>_xlfn.XLOOKUP(Tabla3[[#This Row],[Cliente]],'[1]Datos Contacto'!$A$2:$A$23,'[1]Datos Contacto'!$E$2:$E$23,0,0,1)</f>
        <v>0</v>
      </c>
    </row>
    <row r="572" spans="1:9" x14ac:dyDescent="0.25">
      <c r="A572" s="1">
        <v>901556595</v>
      </c>
      <c r="B572" s="1" t="s">
        <v>587</v>
      </c>
      <c r="C572" s="1"/>
      <c r="D572" s="21" t="s">
        <v>1225</v>
      </c>
      <c r="E572" s="1" t="s">
        <v>6</v>
      </c>
      <c r="F572" s="1" t="s">
        <v>1226</v>
      </c>
      <c r="G572" s="1" t="s">
        <v>20</v>
      </c>
      <c r="H572" s="9">
        <f>_xlfn.XLOOKUP(Tabla3[[#This Row],[Nit]],Hoja2!A572:A1995,Hoja2!C572:C1995)</f>
        <v>8000000</v>
      </c>
      <c r="I572" s="1">
        <f>_xlfn.XLOOKUP(Tabla3[[#This Row],[Cliente]],'[1]Datos Contacto'!$A$2:$A$23,'[1]Datos Contacto'!$E$2:$E$23,0,0,1)</f>
        <v>0</v>
      </c>
    </row>
    <row r="573" spans="1:9" x14ac:dyDescent="0.25">
      <c r="A573" s="1">
        <v>900301742</v>
      </c>
      <c r="B573" s="1" t="s">
        <v>588</v>
      </c>
      <c r="C573" s="1"/>
      <c r="D573" s="21" t="s">
        <v>1225</v>
      </c>
      <c r="E573" s="1" t="s">
        <v>6</v>
      </c>
      <c r="F573" s="1" t="s">
        <v>1226</v>
      </c>
      <c r="G573" s="1" t="s">
        <v>20</v>
      </c>
      <c r="H573" s="9">
        <f>_xlfn.XLOOKUP(Tabla3[[#This Row],[Nit]],Hoja2!A573:A1996,Hoja2!C573:C1996)</f>
        <v>1000000</v>
      </c>
      <c r="I573" s="1">
        <f>_xlfn.XLOOKUP(Tabla3[[#This Row],[Cliente]],'[1]Datos Contacto'!$A$2:$A$23,'[1]Datos Contacto'!$E$2:$E$23,0,0,1)</f>
        <v>0</v>
      </c>
    </row>
    <row r="574" spans="1:9" x14ac:dyDescent="0.25">
      <c r="A574" s="1">
        <v>901197122</v>
      </c>
      <c r="B574" s="1" t="s">
        <v>589</v>
      </c>
      <c r="C574" s="1"/>
      <c r="D574" s="21" t="s">
        <v>1225</v>
      </c>
      <c r="E574" s="1" t="s">
        <v>9</v>
      </c>
      <c r="F574" s="1" t="s">
        <v>1226</v>
      </c>
      <c r="G574" s="1" t="s">
        <v>11</v>
      </c>
      <c r="H574" s="9">
        <f>_xlfn.XLOOKUP(Tabla3[[#This Row],[Nit]],Hoja2!A574:A1997,Hoja2!C574:C1997)</f>
        <v>15000000</v>
      </c>
      <c r="I574" s="1" t="str">
        <f>_xlfn.XLOOKUP(Tabla3[[#This Row],[Cliente]],'[1]Datos Contacto'!$A$2:$A$23,'[1]Datos Contacto'!$E$2:$E$23,0,0,1)</f>
        <v>siesaferecepcion@siesa.com</v>
      </c>
    </row>
    <row r="575" spans="1:9" x14ac:dyDescent="0.25">
      <c r="A575" s="1">
        <v>900639989</v>
      </c>
      <c r="B575" s="1" t="s">
        <v>590</v>
      </c>
      <c r="C575" s="1"/>
      <c r="D575" s="21" t="s">
        <v>1225</v>
      </c>
      <c r="E575" s="1" t="s">
        <v>6</v>
      </c>
      <c r="F575" s="1" t="s">
        <v>1226</v>
      </c>
      <c r="G575" s="1" t="s">
        <v>7</v>
      </c>
      <c r="H575" s="9">
        <f>_xlfn.XLOOKUP(Tabla3[[#This Row],[Nit]],Hoja2!A575:A1998,Hoja2!C575:C1998)</f>
        <v>8000000</v>
      </c>
      <c r="I575" s="1">
        <f>_xlfn.XLOOKUP(Tabla3[[#This Row],[Cliente]],'[1]Datos Contacto'!$A$2:$A$23,'[1]Datos Contacto'!$E$2:$E$23,0,0,1)</f>
        <v>0</v>
      </c>
    </row>
    <row r="576" spans="1:9" x14ac:dyDescent="0.25">
      <c r="A576" s="1">
        <v>901382343</v>
      </c>
      <c r="B576" s="1" t="s">
        <v>591</v>
      </c>
      <c r="C576" s="1"/>
      <c r="D576" s="21" t="s">
        <v>1225</v>
      </c>
      <c r="E576" s="1" t="s">
        <v>9</v>
      </c>
      <c r="F576" s="1" t="s">
        <v>1226</v>
      </c>
      <c r="G576" s="1" t="s">
        <v>11</v>
      </c>
      <c r="H576" s="9">
        <f>_xlfn.XLOOKUP(Tabla3[[#This Row],[Nit]],Hoja2!A576:A1999,Hoja2!C576:C1999)</f>
        <v>1000000</v>
      </c>
      <c r="I576" s="1">
        <f>_xlfn.XLOOKUP(Tabla3[[#This Row],[Cliente]],'[1]Datos Contacto'!$A$2:$A$23,'[1]Datos Contacto'!$E$2:$E$23,0,0,1)</f>
        <v>0</v>
      </c>
    </row>
    <row r="577" spans="1:9" x14ac:dyDescent="0.25">
      <c r="A577" s="1">
        <v>374</v>
      </c>
      <c r="B577" s="1" t="s">
        <v>592</v>
      </c>
      <c r="C577" s="1"/>
      <c r="D577" s="21" t="s">
        <v>1225</v>
      </c>
      <c r="E577" s="1" t="s">
        <v>9</v>
      </c>
      <c r="F577" s="1" t="s">
        <v>1226</v>
      </c>
      <c r="G577" s="1" t="s">
        <v>11</v>
      </c>
      <c r="H577" s="9">
        <f>_xlfn.XLOOKUP(Tabla3[[#This Row],[Nit]],Hoja2!A577:A2000,Hoja2!C577:C2000)</f>
        <v>1000000</v>
      </c>
      <c r="I577" s="1">
        <f>_xlfn.XLOOKUP(Tabla3[[#This Row],[Cliente]],'[1]Datos Contacto'!$A$2:$A$23,'[1]Datos Contacto'!$E$2:$E$23,0,0,1)</f>
        <v>0</v>
      </c>
    </row>
    <row r="578" spans="1:9" x14ac:dyDescent="0.25">
      <c r="A578" s="1">
        <v>357</v>
      </c>
      <c r="B578" s="1" t="s">
        <v>593</v>
      </c>
      <c r="C578" s="1"/>
      <c r="D578" s="21" t="s">
        <v>1225</v>
      </c>
      <c r="E578" s="1" t="s">
        <v>9</v>
      </c>
      <c r="F578" s="1" t="s">
        <v>1226</v>
      </c>
      <c r="G578" s="1" t="s">
        <v>11</v>
      </c>
      <c r="H578" s="9">
        <f>_xlfn.XLOOKUP(Tabla3[[#This Row],[Nit]],Hoja2!A578:A2001,Hoja2!C578:C2001)</f>
        <v>1000000</v>
      </c>
      <c r="I578" s="1">
        <f>_xlfn.XLOOKUP(Tabla3[[#This Row],[Cliente]],'[1]Datos Contacto'!$A$2:$A$23,'[1]Datos Contacto'!$E$2:$E$23,0,0,1)</f>
        <v>0</v>
      </c>
    </row>
    <row r="579" spans="1:9" x14ac:dyDescent="0.25">
      <c r="A579" s="1">
        <v>94041465</v>
      </c>
      <c r="B579" s="1" t="s">
        <v>594</v>
      </c>
      <c r="C579" s="1"/>
      <c r="D579" s="21" t="s">
        <v>1225</v>
      </c>
      <c r="E579" s="1" t="s">
        <v>9</v>
      </c>
      <c r="F579" s="1" t="s">
        <v>1226</v>
      </c>
      <c r="G579" s="1" t="s">
        <v>20</v>
      </c>
      <c r="H579" s="9">
        <f>_xlfn.XLOOKUP(Tabla3[[#This Row],[Nit]],Hoja2!A579:A2002,Hoja2!C579:C2002)</f>
        <v>1000000</v>
      </c>
      <c r="I579" s="1">
        <f>_xlfn.XLOOKUP(Tabla3[[#This Row],[Cliente]],'[1]Datos Contacto'!$A$2:$A$23,'[1]Datos Contacto'!$E$2:$E$23,0,0,1)</f>
        <v>0</v>
      </c>
    </row>
    <row r="580" spans="1:9" x14ac:dyDescent="0.25">
      <c r="A580" s="1">
        <v>1014184975</v>
      </c>
      <c r="B580" s="1" t="s">
        <v>595</v>
      </c>
      <c r="C580" s="1"/>
      <c r="D580" s="21" t="s">
        <v>1225</v>
      </c>
      <c r="E580" s="1" t="s">
        <v>9</v>
      </c>
      <c r="F580" s="1" t="s">
        <v>1226</v>
      </c>
      <c r="G580" s="1" t="s">
        <v>20</v>
      </c>
      <c r="H580" s="9">
        <f>_xlfn.XLOOKUP(Tabla3[[#This Row],[Nit]],Hoja2!A580:A2003,Hoja2!C580:C2003)</f>
        <v>1000000</v>
      </c>
      <c r="I580" s="1">
        <f>_xlfn.XLOOKUP(Tabla3[[#This Row],[Cliente]],'[1]Datos Contacto'!$A$2:$A$23,'[1]Datos Contacto'!$E$2:$E$23,0,0,1)</f>
        <v>0</v>
      </c>
    </row>
    <row r="581" spans="1:9" x14ac:dyDescent="0.25">
      <c r="A581" s="1">
        <v>19494977</v>
      </c>
      <c r="B581" s="1" t="s">
        <v>596</v>
      </c>
      <c r="C581" s="1"/>
      <c r="D581" s="21" t="s">
        <v>1225</v>
      </c>
      <c r="E581" s="1" t="s">
        <v>9</v>
      </c>
      <c r="F581" s="1" t="s">
        <v>1226</v>
      </c>
      <c r="G581" s="1" t="s">
        <v>15</v>
      </c>
      <c r="H581" s="9">
        <f>_xlfn.XLOOKUP(Tabla3[[#This Row],[Nit]],Hoja2!A581:A2004,Hoja2!C581:C2004)</f>
        <v>1000000</v>
      </c>
      <c r="I581" s="1">
        <f>_xlfn.XLOOKUP(Tabla3[[#This Row],[Cliente]],'[1]Datos Contacto'!$A$2:$A$23,'[1]Datos Contacto'!$E$2:$E$23,0,0,1)</f>
        <v>0</v>
      </c>
    </row>
    <row r="582" spans="1:9" x14ac:dyDescent="0.25">
      <c r="A582" s="1">
        <v>364</v>
      </c>
      <c r="B582" s="1" t="s">
        <v>597</v>
      </c>
      <c r="C582" s="1"/>
      <c r="D582" s="21" t="s">
        <v>1225</v>
      </c>
      <c r="E582" s="1" t="s">
        <v>9</v>
      </c>
      <c r="F582" s="1" t="s">
        <v>1226</v>
      </c>
      <c r="G582" s="1" t="s">
        <v>36</v>
      </c>
      <c r="H582" s="9">
        <f>_xlfn.XLOOKUP(Tabla3[[#This Row],[Nit]],Hoja2!A582:A2005,Hoja2!C582:C2005)</f>
        <v>1000000</v>
      </c>
      <c r="I582" s="1">
        <f>_xlfn.XLOOKUP(Tabla3[[#This Row],[Cliente]],'[1]Datos Contacto'!$A$2:$A$23,'[1]Datos Contacto'!$E$2:$E$23,0,0,1)</f>
        <v>0</v>
      </c>
    </row>
    <row r="583" spans="1:9" x14ac:dyDescent="0.25">
      <c r="A583" s="1">
        <v>900014020</v>
      </c>
      <c r="B583" s="1" t="s">
        <v>598</v>
      </c>
      <c r="C583" s="1"/>
      <c r="D583" s="21" t="s">
        <v>1225</v>
      </c>
      <c r="E583" s="1" t="s">
        <v>9</v>
      </c>
      <c r="F583" s="1" t="s">
        <v>1226</v>
      </c>
      <c r="G583" s="1" t="s">
        <v>7</v>
      </c>
      <c r="H583" s="9">
        <f>_xlfn.XLOOKUP(Tabla3[[#This Row],[Nit]],Hoja2!A583:A2006,Hoja2!C583:C2006)</f>
        <v>1000000</v>
      </c>
      <c r="I583" s="1">
        <f>_xlfn.XLOOKUP(Tabla3[[#This Row],[Cliente]],'[1]Datos Contacto'!$A$2:$A$23,'[1]Datos Contacto'!$E$2:$E$23,0,0,1)</f>
        <v>0</v>
      </c>
    </row>
    <row r="584" spans="1:9" x14ac:dyDescent="0.25">
      <c r="A584" s="1">
        <v>51854894</v>
      </c>
      <c r="B584" s="1" t="s">
        <v>599</v>
      </c>
      <c r="C584" s="1"/>
      <c r="D584" s="21" t="s">
        <v>1225</v>
      </c>
      <c r="E584" s="1" t="s">
        <v>9</v>
      </c>
      <c r="F584" s="1" t="s">
        <v>1226</v>
      </c>
      <c r="G584" s="1" t="s">
        <v>11</v>
      </c>
      <c r="H584" s="9">
        <f>_xlfn.XLOOKUP(Tabla3[[#This Row],[Nit]],Hoja2!A584:A2007,Hoja2!C584:C2007)</f>
        <v>2000000</v>
      </c>
      <c r="I584" s="1">
        <f>_xlfn.XLOOKUP(Tabla3[[#This Row],[Cliente]],'[1]Datos Contacto'!$A$2:$A$23,'[1]Datos Contacto'!$E$2:$E$23,0,0,1)</f>
        <v>0</v>
      </c>
    </row>
    <row r="585" spans="1:9" x14ac:dyDescent="0.25">
      <c r="A585" s="1">
        <v>448</v>
      </c>
      <c r="B585" s="1" t="s">
        <v>600</v>
      </c>
      <c r="C585" s="1"/>
      <c r="D585" s="21" t="s">
        <v>1225</v>
      </c>
      <c r="E585" s="1" t="s">
        <v>9</v>
      </c>
      <c r="F585" s="1" t="s">
        <v>1226</v>
      </c>
      <c r="G585" s="1" t="s">
        <v>11</v>
      </c>
      <c r="H585" s="9">
        <f>_xlfn.XLOOKUP(Tabla3[[#This Row],[Nit]],Hoja2!A585:A2008,Hoja2!C585:C2008)</f>
        <v>1000000</v>
      </c>
      <c r="I585" s="1">
        <f>_xlfn.XLOOKUP(Tabla3[[#This Row],[Cliente]],'[1]Datos Contacto'!$A$2:$A$23,'[1]Datos Contacto'!$E$2:$E$23,0,0,1)</f>
        <v>0</v>
      </c>
    </row>
    <row r="586" spans="1:9" x14ac:dyDescent="0.25">
      <c r="A586" s="1">
        <v>901761294</v>
      </c>
      <c r="B586" s="1" t="s">
        <v>601</v>
      </c>
      <c r="C586" s="1"/>
      <c r="D586" s="21" t="s">
        <v>1225</v>
      </c>
      <c r="E586" s="1" t="s">
        <v>9</v>
      </c>
      <c r="F586" s="1" t="s">
        <v>1226</v>
      </c>
      <c r="G586" s="1" t="s">
        <v>15</v>
      </c>
      <c r="H586" s="9">
        <f>_xlfn.XLOOKUP(Tabla3[[#This Row],[Nit]],Hoja2!A586:A2009,Hoja2!C586:C2009)</f>
        <v>1500000</v>
      </c>
      <c r="I586" s="1">
        <f>_xlfn.XLOOKUP(Tabla3[[#This Row],[Cliente]],'[1]Datos Contacto'!$A$2:$A$23,'[1]Datos Contacto'!$E$2:$E$23,0,0,1)</f>
        <v>0</v>
      </c>
    </row>
    <row r="587" spans="1:9" x14ac:dyDescent="0.25">
      <c r="A587" s="1">
        <v>52149070</v>
      </c>
      <c r="B587" s="1" t="s">
        <v>602</v>
      </c>
      <c r="C587" s="1"/>
      <c r="D587" s="21" t="s">
        <v>1225</v>
      </c>
      <c r="E587" s="1" t="s">
        <v>9</v>
      </c>
      <c r="F587" s="1" t="s">
        <v>1226</v>
      </c>
      <c r="G587" s="1" t="s">
        <v>48</v>
      </c>
      <c r="H587" s="9">
        <f>_xlfn.XLOOKUP(Tabla3[[#This Row],[Nit]],Hoja2!A587:A2010,Hoja2!C587:C2010)</f>
        <v>1000000</v>
      </c>
      <c r="I587" s="1">
        <f>_xlfn.XLOOKUP(Tabla3[[#This Row],[Cliente]],'[1]Datos Contacto'!$A$2:$A$23,'[1]Datos Contacto'!$E$2:$E$23,0,0,1)</f>
        <v>0</v>
      </c>
    </row>
    <row r="588" spans="1:9" x14ac:dyDescent="0.25">
      <c r="A588" s="1">
        <v>138</v>
      </c>
      <c r="B588" s="1" t="s">
        <v>603</v>
      </c>
      <c r="C588" s="1"/>
      <c r="D588" s="21" t="s">
        <v>1225</v>
      </c>
      <c r="E588" s="1" t="s">
        <v>9</v>
      </c>
      <c r="F588" s="1" t="s">
        <v>1226</v>
      </c>
      <c r="G588" s="1" t="s">
        <v>11</v>
      </c>
      <c r="H588" s="9">
        <f>_xlfn.XLOOKUP(Tabla3[[#This Row],[Nit]],Hoja2!A588:A2011,Hoja2!C588:C2011)</f>
        <v>1000000</v>
      </c>
      <c r="I588" s="1">
        <f>_xlfn.XLOOKUP(Tabla3[[#This Row],[Cliente]],'[1]Datos Contacto'!$A$2:$A$23,'[1]Datos Contacto'!$E$2:$E$23,0,0,1)</f>
        <v>0</v>
      </c>
    </row>
    <row r="589" spans="1:9" x14ac:dyDescent="0.25">
      <c r="A589" s="1">
        <v>900936745</v>
      </c>
      <c r="B589" s="1" t="s">
        <v>604</v>
      </c>
      <c r="C589" s="1"/>
      <c r="D589" s="21" t="s">
        <v>1225</v>
      </c>
      <c r="E589" s="1" t="s">
        <v>9</v>
      </c>
      <c r="F589" s="1" t="s">
        <v>1226</v>
      </c>
      <c r="G589" s="1" t="s">
        <v>11</v>
      </c>
      <c r="H589" s="9">
        <f>_xlfn.XLOOKUP(Tabla3[[#This Row],[Nit]],Hoja2!A589:A2012,Hoja2!C589:C2012)</f>
        <v>1000000</v>
      </c>
      <c r="I589" s="1">
        <f>_xlfn.XLOOKUP(Tabla3[[#This Row],[Cliente]],'[1]Datos Contacto'!$A$2:$A$23,'[1]Datos Contacto'!$E$2:$E$23,0,0,1)</f>
        <v>0</v>
      </c>
    </row>
    <row r="590" spans="1:9" x14ac:dyDescent="0.25">
      <c r="A590" s="1">
        <v>809000469</v>
      </c>
      <c r="B590" s="1" t="s">
        <v>605</v>
      </c>
      <c r="C590" s="1"/>
      <c r="D590" s="21" t="s">
        <v>1225</v>
      </c>
      <c r="E590" s="1" t="s">
        <v>9</v>
      </c>
      <c r="F590" s="1" t="s">
        <v>1226</v>
      </c>
      <c r="G590" s="1" t="s">
        <v>7</v>
      </c>
      <c r="H590" s="9">
        <f>_xlfn.XLOOKUP(Tabla3[[#This Row],[Nit]],Hoja2!A590:A2013,Hoja2!C590:C2013)</f>
        <v>1000000</v>
      </c>
      <c r="I590" s="1">
        <f>_xlfn.XLOOKUP(Tabla3[[#This Row],[Cliente]],'[1]Datos Contacto'!$A$2:$A$23,'[1]Datos Contacto'!$E$2:$E$23,0,0,1)</f>
        <v>0</v>
      </c>
    </row>
    <row r="591" spans="1:9" x14ac:dyDescent="0.25">
      <c r="A591" s="1">
        <v>901007775</v>
      </c>
      <c r="B591" s="1" t="s">
        <v>606</v>
      </c>
      <c r="C591" s="1"/>
      <c r="D591" s="21" t="s">
        <v>1225</v>
      </c>
      <c r="E591" s="1" t="s">
        <v>9</v>
      </c>
      <c r="F591" s="1" t="s">
        <v>1226</v>
      </c>
      <c r="G591" s="1" t="s">
        <v>20</v>
      </c>
      <c r="H591" s="9">
        <f>_xlfn.XLOOKUP(Tabla3[[#This Row],[Nit]],Hoja2!A591:A2014,Hoja2!C591:C2014)</f>
        <v>1000000</v>
      </c>
      <c r="I591" s="1">
        <f>_xlfn.XLOOKUP(Tabla3[[#This Row],[Cliente]],'[1]Datos Contacto'!$A$2:$A$23,'[1]Datos Contacto'!$E$2:$E$23,0,0,1)</f>
        <v>0</v>
      </c>
    </row>
    <row r="592" spans="1:9" x14ac:dyDescent="0.25">
      <c r="A592" s="1">
        <v>901259341</v>
      </c>
      <c r="B592" s="1" t="s">
        <v>607</v>
      </c>
      <c r="C592" s="1"/>
      <c r="D592" s="21" t="s">
        <v>1225</v>
      </c>
      <c r="E592" s="1" t="s">
        <v>6</v>
      </c>
      <c r="F592" s="1" t="s">
        <v>1226</v>
      </c>
      <c r="G592" s="1" t="s">
        <v>7</v>
      </c>
      <c r="H592" s="9">
        <f>_xlfn.XLOOKUP(Tabla3[[#This Row],[Nit]],Hoja2!A592:A2015,Hoja2!C592:C2015)</f>
        <v>3000000</v>
      </c>
      <c r="I592" s="1">
        <f>_xlfn.XLOOKUP(Tabla3[[#This Row],[Cliente]],'[1]Datos Contacto'!$A$2:$A$23,'[1]Datos Contacto'!$E$2:$E$23,0,0,1)</f>
        <v>0</v>
      </c>
    </row>
    <row r="593" spans="1:9" x14ac:dyDescent="0.25">
      <c r="A593" s="1">
        <v>52785739</v>
      </c>
      <c r="B593" s="1" t="s">
        <v>608</v>
      </c>
      <c r="C593" s="1"/>
      <c r="D593" s="21" t="s">
        <v>1225</v>
      </c>
      <c r="E593" s="1" t="s">
        <v>9</v>
      </c>
      <c r="F593" s="1" t="s">
        <v>1226</v>
      </c>
      <c r="G593" s="1" t="s">
        <v>7</v>
      </c>
      <c r="H593" s="9">
        <f>_xlfn.XLOOKUP(Tabla3[[#This Row],[Nit]],Hoja2!A593:A2016,Hoja2!C593:C2016)</f>
        <v>1000000</v>
      </c>
      <c r="I593" s="1">
        <f>_xlfn.XLOOKUP(Tabla3[[#This Row],[Cliente]],'[1]Datos Contacto'!$A$2:$A$23,'[1]Datos Contacto'!$E$2:$E$23,0,0,1)</f>
        <v>0</v>
      </c>
    </row>
    <row r="594" spans="1:9" x14ac:dyDescent="0.25">
      <c r="A594" s="1">
        <v>52077634</v>
      </c>
      <c r="B594" s="1" t="s">
        <v>609</v>
      </c>
      <c r="C594" s="1"/>
      <c r="D594" s="21" t="s">
        <v>1225</v>
      </c>
      <c r="E594" s="1" t="s">
        <v>9</v>
      </c>
      <c r="F594" s="1" t="s">
        <v>1226</v>
      </c>
      <c r="G594" s="1" t="s">
        <v>11</v>
      </c>
      <c r="H594" s="9">
        <f>_xlfn.XLOOKUP(Tabla3[[#This Row],[Nit]],Hoja2!A594:A2017,Hoja2!C594:C2017)</f>
        <v>1000000</v>
      </c>
      <c r="I594" s="1">
        <f>_xlfn.XLOOKUP(Tabla3[[#This Row],[Cliente]],'[1]Datos Contacto'!$A$2:$A$23,'[1]Datos Contacto'!$E$2:$E$23,0,0,1)</f>
        <v>0</v>
      </c>
    </row>
    <row r="595" spans="1:9" x14ac:dyDescent="0.25">
      <c r="A595" s="1">
        <v>52191299</v>
      </c>
      <c r="B595" s="1" t="s">
        <v>610</v>
      </c>
      <c r="C595" s="1"/>
      <c r="D595" s="21" t="s">
        <v>1225</v>
      </c>
      <c r="E595" s="1" t="s">
        <v>9</v>
      </c>
      <c r="F595" s="1" t="s">
        <v>1226</v>
      </c>
      <c r="G595" s="1" t="s">
        <v>11</v>
      </c>
      <c r="H595" s="9">
        <f>_xlfn.XLOOKUP(Tabla3[[#This Row],[Nit]],Hoja2!A595:A2018,Hoja2!C595:C2018)</f>
        <v>1000000</v>
      </c>
      <c r="I595" s="1">
        <f>_xlfn.XLOOKUP(Tabla3[[#This Row],[Cliente]],'[1]Datos Contacto'!$A$2:$A$23,'[1]Datos Contacto'!$E$2:$E$23,0,0,1)</f>
        <v>0</v>
      </c>
    </row>
    <row r="596" spans="1:9" x14ac:dyDescent="0.25">
      <c r="A596" s="1">
        <v>1192741280</v>
      </c>
      <c r="B596" s="1" t="s">
        <v>611</v>
      </c>
      <c r="C596" s="1"/>
      <c r="D596" s="21" t="s">
        <v>1225</v>
      </c>
      <c r="E596" s="1" t="s">
        <v>9</v>
      </c>
      <c r="F596" s="1" t="s">
        <v>1226</v>
      </c>
      <c r="G596" s="1" t="s">
        <v>11</v>
      </c>
      <c r="H596" s="9">
        <f>_xlfn.XLOOKUP(Tabla3[[#This Row],[Nit]],Hoja2!A596:A2019,Hoja2!C596:C2019)</f>
        <v>1000000</v>
      </c>
      <c r="I596" s="1">
        <f>_xlfn.XLOOKUP(Tabla3[[#This Row],[Cliente]],'[1]Datos Contacto'!$A$2:$A$23,'[1]Datos Contacto'!$E$2:$E$23,0,0,1)</f>
        <v>0</v>
      </c>
    </row>
    <row r="597" spans="1:9" x14ac:dyDescent="0.25">
      <c r="A597" s="1">
        <v>901156100</v>
      </c>
      <c r="B597" s="1" t="s">
        <v>612</v>
      </c>
      <c r="C597" s="1"/>
      <c r="D597" s="21" t="s">
        <v>1225</v>
      </c>
      <c r="E597" s="1" t="s">
        <v>9</v>
      </c>
      <c r="F597" s="1" t="s">
        <v>1226</v>
      </c>
      <c r="G597" s="1" t="s">
        <v>11</v>
      </c>
      <c r="H597" s="9">
        <f>_xlfn.XLOOKUP(Tabla3[[#This Row],[Nit]],Hoja2!A597:A2020,Hoja2!C597:C2020)</f>
        <v>1000000</v>
      </c>
      <c r="I597" s="1">
        <f>_xlfn.XLOOKUP(Tabla3[[#This Row],[Cliente]],'[1]Datos Contacto'!$A$2:$A$23,'[1]Datos Contacto'!$E$2:$E$23,0,0,1)</f>
        <v>0</v>
      </c>
    </row>
    <row r="598" spans="1:9" x14ac:dyDescent="0.25">
      <c r="A598" s="1">
        <v>52935090</v>
      </c>
      <c r="B598" s="1" t="s">
        <v>613</v>
      </c>
      <c r="C598" s="1"/>
      <c r="D598" s="21" t="s">
        <v>1225</v>
      </c>
      <c r="E598" s="1" t="s">
        <v>9</v>
      </c>
      <c r="F598" s="1" t="s">
        <v>1226</v>
      </c>
      <c r="G598" s="1" t="s">
        <v>11</v>
      </c>
      <c r="H598" s="9">
        <f>_xlfn.XLOOKUP(Tabla3[[#This Row],[Nit]],Hoja2!A598:A2021,Hoja2!C598:C2021)</f>
        <v>1000000</v>
      </c>
      <c r="I598" s="1">
        <f>_xlfn.XLOOKUP(Tabla3[[#This Row],[Cliente]],'[1]Datos Contacto'!$A$2:$A$23,'[1]Datos Contacto'!$E$2:$E$23,0,0,1)</f>
        <v>0</v>
      </c>
    </row>
    <row r="599" spans="1:9" x14ac:dyDescent="0.25">
      <c r="A599" s="1">
        <v>52280852</v>
      </c>
      <c r="B599" s="1" t="s">
        <v>614</v>
      </c>
      <c r="C599" s="1"/>
      <c r="D599" s="21" t="s">
        <v>1225</v>
      </c>
      <c r="E599" s="1" t="s">
        <v>9</v>
      </c>
      <c r="F599" s="1" t="s">
        <v>1226</v>
      </c>
      <c r="G599" s="1" t="s">
        <v>11</v>
      </c>
      <c r="H599" s="9">
        <f>_xlfn.XLOOKUP(Tabla3[[#This Row],[Nit]],Hoja2!A599:A2022,Hoja2!C599:C2022)</f>
        <v>1000000</v>
      </c>
      <c r="I599" s="1">
        <f>_xlfn.XLOOKUP(Tabla3[[#This Row],[Cliente]],'[1]Datos Contacto'!$A$2:$A$23,'[1]Datos Contacto'!$E$2:$E$23,0,0,1)</f>
        <v>0</v>
      </c>
    </row>
    <row r="600" spans="1:9" x14ac:dyDescent="0.25">
      <c r="A600" s="1">
        <v>366</v>
      </c>
      <c r="B600" s="1" t="s">
        <v>615</v>
      </c>
      <c r="C600" s="1"/>
      <c r="D600" s="21" t="s">
        <v>1225</v>
      </c>
      <c r="E600" s="1" t="s">
        <v>9</v>
      </c>
      <c r="F600" s="1" t="s">
        <v>1226</v>
      </c>
      <c r="G600" s="1" t="s">
        <v>20</v>
      </c>
      <c r="H600" s="9">
        <f>_xlfn.XLOOKUP(Tabla3[[#This Row],[Nit]],Hoja2!A600:A2023,Hoja2!C600:C2023)</f>
        <v>1000000</v>
      </c>
      <c r="I600" s="1">
        <f>_xlfn.XLOOKUP(Tabla3[[#This Row],[Cliente]],'[1]Datos Contacto'!$A$2:$A$23,'[1]Datos Contacto'!$E$2:$E$23,0,0,1)</f>
        <v>0</v>
      </c>
    </row>
    <row r="601" spans="1:9" x14ac:dyDescent="0.25">
      <c r="A601" s="1">
        <v>93420274</v>
      </c>
      <c r="B601" s="1" t="s">
        <v>616</v>
      </c>
      <c r="C601" s="1"/>
      <c r="D601" s="21" t="s">
        <v>1225</v>
      </c>
      <c r="E601" s="1" t="s">
        <v>9</v>
      </c>
      <c r="F601" s="1" t="s">
        <v>1226</v>
      </c>
      <c r="G601" s="1" t="s">
        <v>11</v>
      </c>
      <c r="H601" s="9">
        <f>_xlfn.XLOOKUP(Tabla3[[#This Row],[Nit]],Hoja2!A601:A2024,Hoja2!C601:C2024)</f>
        <v>1000000</v>
      </c>
      <c r="I601" s="1">
        <f>_xlfn.XLOOKUP(Tabla3[[#This Row],[Cliente]],'[1]Datos Contacto'!$A$2:$A$23,'[1]Datos Contacto'!$E$2:$E$23,0,0,1)</f>
        <v>0</v>
      </c>
    </row>
    <row r="602" spans="1:9" x14ac:dyDescent="0.25">
      <c r="A602" s="1">
        <v>80544286</v>
      </c>
      <c r="B602" s="1" t="s">
        <v>617</v>
      </c>
      <c r="C602" s="1"/>
      <c r="D602" s="21" t="s">
        <v>1225</v>
      </c>
      <c r="E602" s="1" t="s">
        <v>9</v>
      </c>
      <c r="F602" s="1" t="s">
        <v>1226</v>
      </c>
      <c r="G602" s="1" t="s">
        <v>11</v>
      </c>
      <c r="H602" s="9">
        <f>_xlfn.XLOOKUP(Tabla3[[#This Row],[Nit]],Hoja2!A602:A2025,Hoja2!C602:C2025)</f>
        <v>1000000</v>
      </c>
      <c r="I602" s="1">
        <f>_xlfn.XLOOKUP(Tabla3[[#This Row],[Cliente]],'[1]Datos Contacto'!$A$2:$A$23,'[1]Datos Contacto'!$E$2:$E$23,0,0,1)</f>
        <v>0</v>
      </c>
    </row>
    <row r="603" spans="1:9" x14ac:dyDescent="0.25">
      <c r="A603" s="1">
        <v>80220765</v>
      </c>
      <c r="B603" s="1" t="s">
        <v>618</v>
      </c>
      <c r="C603" s="1"/>
      <c r="D603" s="21" t="s">
        <v>1225</v>
      </c>
      <c r="E603" s="1" t="s">
        <v>9</v>
      </c>
      <c r="F603" s="1" t="s">
        <v>1226</v>
      </c>
      <c r="G603" s="1" t="s">
        <v>15</v>
      </c>
      <c r="H603" s="9">
        <f>_xlfn.XLOOKUP(Tabla3[[#This Row],[Nit]],Hoja2!A603:A2026,Hoja2!C603:C2026)</f>
        <v>1000000</v>
      </c>
      <c r="I603" s="1">
        <f>_xlfn.XLOOKUP(Tabla3[[#This Row],[Cliente]],'[1]Datos Contacto'!$A$2:$A$23,'[1]Datos Contacto'!$E$2:$E$23,0,0,1)</f>
        <v>0</v>
      </c>
    </row>
    <row r="604" spans="1:9" x14ac:dyDescent="0.25">
      <c r="A604" s="1">
        <v>80816507</v>
      </c>
      <c r="B604" s="1" t="s">
        <v>619</v>
      </c>
      <c r="C604" s="1"/>
      <c r="D604" s="21" t="s">
        <v>1225</v>
      </c>
      <c r="E604" s="1" t="s">
        <v>9</v>
      </c>
      <c r="F604" s="1" t="s">
        <v>1226</v>
      </c>
      <c r="G604" s="1" t="s">
        <v>11</v>
      </c>
      <c r="H604" s="9">
        <f>_xlfn.XLOOKUP(Tabla3[[#This Row],[Nit]],Hoja2!A604:A2027,Hoja2!C604:C2027)</f>
        <v>1000000</v>
      </c>
      <c r="I604" s="1">
        <f>_xlfn.XLOOKUP(Tabla3[[#This Row],[Cliente]],'[1]Datos Contacto'!$A$2:$A$23,'[1]Datos Contacto'!$E$2:$E$23,0,0,1)</f>
        <v>0</v>
      </c>
    </row>
    <row r="605" spans="1:9" x14ac:dyDescent="0.25">
      <c r="A605" s="1">
        <v>1072653594</v>
      </c>
      <c r="B605" s="1" t="s">
        <v>620</v>
      </c>
      <c r="C605" s="1"/>
      <c r="D605" s="21" t="s">
        <v>1225</v>
      </c>
      <c r="E605" s="1" t="s">
        <v>9</v>
      </c>
      <c r="F605" s="1" t="s">
        <v>1226</v>
      </c>
      <c r="G605" s="1" t="s">
        <v>48</v>
      </c>
      <c r="H605" s="9">
        <f>_xlfn.XLOOKUP(Tabla3[[#This Row],[Nit]],Hoja2!A605:A2028,Hoja2!C605:C2028)</f>
        <v>1000000</v>
      </c>
      <c r="I605" s="1">
        <f>_xlfn.XLOOKUP(Tabla3[[#This Row],[Cliente]],'[1]Datos Contacto'!$A$2:$A$23,'[1]Datos Contacto'!$E$2:$E$23,0,0,1)</f>
        <v>0</v>
      </c>
    </row>
    <row r="606" spans="1:9" x14ac:dyDescent="0.25">
      <c r="A606" s="1">
        <v>1074929520</v>
      </c>
      <c r="B606" s="1" t="s">
        <v>621</v>
      </c>
      <c r="C606" s="1"/>
      <c r="D606" s="21" t="s">
        <v>1225</v>
      </c>
      <c r="E606" s="1" t="s">
        <v>9</v>
      </c>
      <c r="F606" s="1" t="s">
        <v>1226</v>
      </c>
      <c r="G606" s="1" t="s">
        <v>15</v>
      </c>
      <c r="H606" s="9">
        <f>_xlfn.XLOOKUP(Tabla3[[#This Row],[Nit]],Hoja2!A606:A2029,Hoja2!C606:C2029)</f>
        <v>1000000</v>
      </c>
      <c r="I606" s="1">
        <f>_xlfn.XLOOKUP(Tabla3[[#This Row],[Cliente]],'[1]Datos Contacto'!$A$2:$A$23,'[1]Datos Contacto'!$E$2:$E$23,0,0,1)</f>
        <v>0</v>
      </c>
    </row>
    <row r="607" spans="1:9" x14ac:dyDescent="0.25">
      <c r="A607" s="1">
        <v>1120867326</v>
      </c>
      <c r="B607" s="1" t="s">
        <v>622</v>
      </c>
      <c r="C607" s="1"/>
      <c r="D607" s="21" t="s">
        <v>1225</v>
      </c>
      <c r="E607" s="1" t="s">
        <v>9</v>
      </c>
      <c r="F607" s="1" t="s">
        <v>1226</v>
      </c>
      <c r="G607" s="1" t="s">
        <v>11</v>
      </c>
      <c r="H607" s="9">
        <f>_xlfn.XLOOKUP(Tabla3[[#This Row],[Nit]],Hoja2!A607:A2030,Hoja2!C607:C2030)</f>
        <v>1000000</v>
      </c>
      <c r="I607" s="1">
        <f>_xlfn.XLOOKUP(Tabla3[[#This Row],[Cliente]],'[1]Datos Contacto'!$A$2:$A$23,'[1]Datos Contacto'!$E$2:$E$23,0,0,1)</f>
        <v>0</v>
      </c>
    </row>
    <row r="608" spans="1:9" x14ac:dyDescent="0.25">
      <c r="A608" s="1">
        <v>900535049</v>
      </c>
      <c r="B608" s="1" t="s">
        <v>623</v>
      </c>
      <c r="C608" s="1"/>
      <c r="D608" s="21" t="s">
        <v>1225</v>
      </c>
      <c r="E608" s="1" t="s">
        <v>9</v>
      </c>
      <c r="F608" s="1" t="s">
        <v>1226</v>
      </c>
      <c r="G608" s="1" t="s">
        <v>15</v>
      </c>
      <c r="H608" s="9">
        <f>_xlfn.XLOOKUP(Tabla3[[#This Row],[Nit]],Hoja2!A608:A2031,Hoja2!C608:C2031)</f>
        <v>1000000</v>
      </c>
      <c r="I608" s="1">
        <f>_xlfn.XLOOKUP(Tabla3[[#This Row],[Cliente]],'[1]Datos Contacto'!$A$2:$A$23,'[1]Datos Contacto'!$E$2:$E$23,0,0,1)</f>
        <v>0</v>
      </c>
    </row>
    <row r="609" spans="1:9" x14ac:dyDescent="0.25">
      <c r="A609" s="1">
        <v>900596613</v>
      </c>
      <c r="B609" s="1" t="s">
        <v>624</v>
      </c>
      <c r="C609" s="1"/>
      <c r="D609" s="21" t="s">
        <v>1225</v>
      </c>
      <c r="E609" s="1" t="s">
        <v>9</v>
      </c>
      <c r="F609" s="1" t="s">
        <v>1226</v>
      </c>
      <c r="G609" s="1" t="s">
        <v>20</v>
      </c>
      <c r="H609" s="9">
        <f>_xlfn.XLOOKUP(Tabla3[[#This Row],[Nit]],Hoja2!A609:A2032,Hoja2!C609:C2032)</f>
        <v>1000000</v>
      </c>
      <c r="I609" s="1">
        <f>_xlfn.XLOOKUP(Tabla3[[#This Row],[Cliente]],'[1]Datos Contacto'!$A$2:$A$23,'[1]Datos Contacto'!$E$2:$E$23,0,0,1)</f>
        <v>0</v>
      </c>
    </row>
    <row r="610" spans="1:9" x14ac:dyDescent="0.25">
      <c r="A610" s="1">
        <v>52206325</v>
      </c>
      <c r="B610" s="1" t="s">
        <v>625</v>
      </c>
      <c r="C610" s="1"/>
      <c r="D610" s="21" t="s">
        <v>1225</v>
      </c>
      <c r="E610" s="1" t="s">
        <v>9</v>
      </c>
      <c r="F610" s="1" t="s">
        <v>1226</v>
      </c>
      <c r="G610" s="1" t="s">
        <v>11</v>
      </c>
      <c r="H610" s="9">
        <f>_xlfn.XLOOKUP(Tabla3[[#This Row],[Nit]],Hoja2!A610:A2033,Hoja2!C610:C2033)</f>
        <v>1000000</v>
      </c>
      <c r="I610" s="1">
        <f>_xlfn.XLOOKUP(Tabla3[[#This Row],[Cliente]],'[1]Datos Contacto'!$A$2:$A$23,'[1]Datos Contacto'!$E$2:$E$23,0,0,1)</f>
        <v>0</v>
      </c>
    </row>
    <row r="611" spans="1:9" x14ac:dyDescent="0.25">
      <c r="A611" s="1">
        <v>39545271</v>
      </c>
      <c r="B611" s="1" t="s">
        <v>626</v>
      </c>
      <c r="C611" s="1"/>
      <c r="D611" s="21" t="s">
        <v>1225</v>
      </c>
      <c r="E611" s="1" t="s">
        <v>9</v>
      </c>
      <c r="F611" s="1" t="s">
        <v>1226</v>
      </c>
      <c r="G611" s="1" t="s">
        <v>15</v>
      </c>
      <c r="H611" s="9">
        <f>_xlfn.XLOOKUP(Tabla3[[#This Row],[Nit]],Hoja2!A611:A2034,Hoja2!C611:C2034)</f>
        <v>1000000</v>
      </c>
      <c r="I611" s="1">
        <f>_xlfn.XLOOKUP(Tabla3[[#This Row],[Cliente]],'[1]Datos Contacto'!$A$2:$A$23,'[1]Datos Contacto'!$E$2:$E$23,0,0,1)</f>
        <v>0</v>
      </c>
    </row>
    <row r="612" spans="1:9" x14ac:dyDescent="0.25">
      <c r="A612" s="1">
        <v>1010228641</v>
      </c>
      <c r="B612" s="1" t="s">
        <v>627</v>
      </c>
      <c r="C612" s="1"/>
      <c r="D612" s="21" t="s">
        <v>1225</v>
      </c>
      <c r="E612" s="1" t="s">
        <v>9</v>
      </c>
      <c r="F612" s="1" t="s">
        <v>1226</v>
      </c>
      <c r="G612" s="1" t="s">
        <v>11</v>
      </c>
      <c r="H612" s="9">
        <f>_xlfn.XLOOKUP(Tabla3[[#This Row],[Nit]],Hoja2!A612:A2035,Hoja2!C612:C2035)</f>
        <v>1000000</v>
      </c>
      <c r="I612" s="1">
        <f>_xlfn.XLOOKUP(Tabla3[[#This Row],[Cliente]],'[1]Datos Contacto'!$A$2:$A$23,'[1]Datos Contacto'!$E$2:$E$23,0,0,1)</f>
        <v>0</v>
      </c>
    </row>
    <row r="613" spans="1:9" x14ac:dyDescent="0.25">
      <c r="A613" s="1">
        <v>900655332</v>
      </c>
      <c r="B613" s="1" t="s">
        <v>628</v>
      </c>
      <c r="C613" s="1"/>
      <c r="D613" s="21" t="s">
        <v>1225</v>
      </c>
      <c r="E613" s="1" t="s">
        <v>9</v>
      </c>
      <c r="F613" s="1" t="s">
        <v>1226</v>
      </c>
      <c r="G613" s="1" t="s">
        <v>48</v>
      </c>
      <c r="H613" s="9">
        <f>_xlfn.XLOOKUP(Tabla3[[#This Row],[Nit]],Hoja2!A613:A2036,Hoja2!C613:C2036)</f>
        <v>1000000</v>
      </c>
      <c r="I613" s="1">
        <f>_xlfn.XLOOKUP(Tabla3[[#This Row],[Cliente]],'[1]Datos Contacto'!$A$2:$A$23,'[1]Datos Contacto'!$E$2:$E$23,0,0,1)</f>
        <v>0</v>
      </c>
    </row>
    <row r="614" spans="1:9" x14ac:dyDescent="0.25">
      <c r="A614" s="1">
        <v>901250585</v>
      </c>
      <c r="B614" s="1" t="s">
        <v>629</v>
      </c>
      <c r="C614" s="1"/>
      <c r="D614" s="21" t="s">
        <v>1225</v>
      </c>
      <c r="E614" s="1" t="s">
        <v>9</v>
      </c>
      <c r="F614" s="1" t="s">
        <v>1226</v>
      </c>
      <c r="G614" s="1" t="s">
        <v>11</v>
      </c>
      <c r="H614" s="9">
        <f>_xlfn.XLOOKUP(Tabla3[[#This Row],[Nit]],Hoja2!A614:A2037,Hoja2!C614:C2037)</f>
        <v>1000000</v>
      </c>
      <c r="I614" s="1">
        <f>_xlfn.XLOOKUP(Tabla3[[#This Row],[Cliente]],'[1]Datos Contacto'!$A$2:$A$23,'[1]Datos Contacto'!$E$2:$E$23,0,0,1)</f>
        <v>0</v>
      </c>
    </row>
    <row r="615" spans="1:9" x14ac:dyDescent="0.25">
      <c r="A615" s="1">
        <v>901132347</v>
      </c>
      <c r="B615" s="1" t="s">
        <v>630</v>
      </c>
      <c r="C615" s="1"/>
      <c r="D615" s="21" t="s">
        <v>1225</v>
      </c>
      <c r="E615" s="1" t="s">
        <v>9</v>
      </c>
      <c r="F615" s="1" t="s">
        <v>1226</v>
      </c>
      <c r="G615" s="1" t="s">
        <v>11</v>
      </c>
      <c r="H615" s="9">
        <f>_xlfn.XLOOKUP(Tabla3[[#This Row],[Nit]],Hoja2!A615:A2038,Hoja2!C615:C2038)</f>
        <v>1000000</v>
      </c>
      <c r="I615" s="1">
        <f>_xlfn.XLOOKUP(Tabla3[[#This Row],[Cliente]],'[1]Datos Contacto'!$A$2:$A$23,'[1]Datos Contacto'!$E$2:$E$23,0,0,1)</f>
        <v>0</v>
      </c>
    </row>
    <row r="616" spans="1:9" x14ac:dyDescent="0.25">
      <c r="A616" s="1">
        <v>80736026</v>
      </c>
      <c r="B616" s="1" t="s">
        <v>631</v>
      </c>
      <c r="C616" s="1"/>
      <c r="D616" s="21" t="s">
        <v>1225</v>
      </c>
      <c r="E616" s="1" t="s">
        <v>9</v>
      </c>
      <c r="F616" s="1" t="s">
        <v>1226</v>
      </c>
      <c r="G616" s="1" t="s">
        <v>15</v>
      </c>
      <c r="H616" s="9">
        <f>_xlfn.XLOOKUP(Tabla3[[#This Row],[Nit]],Hoja2!A616:A2039,Hoja2!C616:C2039)</f>
        <v>1000000</v>
      </c>
      <c r="I616" s="1">
        <f>_xlfn.XLOOKUP(Tabla3[[#This Row],[Cliente]],'[1]Datos Contacto'!$A$2:$A$23,'[1]Datos Contacto'!$E$2:$E$23,0,0,1)</f>
        <v>0</v>
      </c>
    </row>
    <row r="617" spans="1:9" x14ac:dyDescent="0.25">
      <c r="A617" s="1">
        <v>900917436</v>
      </c>
      <c r="B617" s="1" t="s">
        <v>632</v>
      </c>
      <c r="C617" s="1"/>
      <c r="D617" s="21" t="s">
        <v>1225</v>
      </c>
      <c r="E617" s="1" t="s">
        <v>6</v>
      </c>
      <c r="F617" s="1" t="s">
        <v>1226</v>
      </c>
      <c r="G617" s="1" t="s">
        <v>7</v>
      </c>
      <c r="H617" s="9">
        <f>_xlfn.XLOOKUP(Tabla3[[#This Row],[Nit]],Hoja2!A617:A2040,Hoja2!C617:C2040)</f>
        <v>30000000</v>
      </c>
      <c r="I617" s="1">
        <f>_xlfn.XLOOKUP(Tabla3[[#This Row],[Cliente]],'[1]Datos Contacto'!$A$2:$A$23,'[1]Datos Contacto'!$E$2:$E$23,0,0,1)</f>
        <v>0</v>
      </c>
    </row>
    <row r="618" spans="1:9" x14ac:dyDescent="0.25">
      <c r="A618" s="1">
        <v>369</v>
      </c>
      <c r="B618" s="1" t="s">
        <v>633</v>
      </c>
      <c r="C618" s="1"/>
      <c r="D618" s="21" t="s">
        <v>1225</v>
      </c>
      <c r="E618" s="1" t="s">
        <v>9</v>
      </c>
      <c r="F618" s="1" t="s">
        <v>1226</v>
      </c>
      <c r="G618" s="1" t="s">
        <v>7</v>
      </c>
      <c r="H618" s="9">
        <f>_xlfn.XLOOKUP(Tabla3[[#This Row],[Nit]],Hoja2!A618:A2041,Hoja2!C618:C2041)</f>
        <v>1000000</v>
      </c>
      <c r="I618" s="1">
        <f>_xlfn.XLOOKUP(Tabla3[[#This Row],[Cliente]],'[1]Datos Contacto'!$A$2:$A$23,'[1]Datos Contacto'!$E$2:$E$23,0,0,1)</f>
        <v>0</v>
      </c>
    </row>
    <row r="619" spans="1:9" x14ac:dyDescent="0.25">
      <c r="A619" s="1">
        <v>137</v>
      </c>
      <c r="B619" s="1" t="s">
        <v>634</v>
      </c>
      <c r="C619" s="1"/>
      <c r="D619" s="21" t="s">
        <v>1225</v>
      </c>
      <c r="E619" s="1" t="s">
        <v>9</v>
      </c>
      <c r="F619" s="1" t="s">
        <v>1226</v>
      </c>
      <c r="G619" s="1" t="s">
        <v>11</v>
      </c>
      <c r="H619" s="9">
        <f>_xlfn.XLOOKUP(Tabla3[[#This Row],[Nit]],Hoja2!A619:A2042,Hoja2!C619:C2042)</f>
        <v>1000000</v>
      </c>
      <c r="I619" s="1">
        <f>_xlfn.XLOOKUP(Tabla3[[#This Row],[Cliente]],'[1]Datos Contacto'!$A$2:$A$23,'[1]Datos Contacto'!$E$2:$E$23,0,0,1)</f>
        <v>0</v>
      </c>
    </row>
    <row r="620" spans="1:9" x14ac:dyDescent="0.25">
      <c r="A620" s="1">
        <v>79269515</v>
      </c>
      <c r="B620" s="1" t="s">
        <v>635</v>
      </c>
      <c r="C620" s="1"/>
      <c r="D620" s="21" t="s">
        <v>1225</v>
      </c>
      <c r="E620" s="1" t="s">
        <v>9</v>
      </c>
      <c r="F620" s="1" t="s">
        <v>1226</v>
      </c>
      <c r="G620" s="1" t="s">
        <v>11</v>
      </c>
      <c r="H620" s="9">
        <f>_xlfn.XLOOKUP(Tabla3[[#This Row],[Nit]],Hoja2!A620:A2043,Hoja2!C620:C2043)</f>
        <v>1000000</v>
      </c>
      <c r="I620" s="1">
        <f>_xlfn.XLOOKUP(Tabla3[[#This Row],[Cliente]],'[1]Datos Contacto'!$A$2:$A$23,'[1]Datos Contacto'!$E$2:$E$23,0,0,1)</f>
        <v>0</v>
      </c>
    </row>
    <row r="621" spans="1:9" x14ac:dyDescent="0.25">
      <c r="A621" s="1">
        <v>80153828</v>
      </c>
      <c r="B621" s="1" t="s">
        <v>636</v>
      </c>
      <c r="C621" s="1"/>
      <c r="D621" s="21" t="s">
        <v>1225</v>
      </c>
      <c r="E621" s="1" t="s">
        <v>9</v>
      </c>
      <c r="F621" s="1" t="s">
        <v>1226</v>
      </c>
      <c r="G621" s="1" t="s">
        <v>36</v>
      </c>
      <c r="H621" s="9">
        <f>_xlfn.XLOOKUP(Tabla3[[#This Row],[Nit]],Hoja2!A621:A2044,Hoja2!C621:C2044)</f>
        <v>1000000</v>
      </c>
      <c r="I621" s="1">
        <f>_xlfn.XLOOKUP(Tabla3[[#This Row],[Cliente]],'[1]Datos Contacto'!$A$2:$A$23,'[1]Datos Contacto'!$E$2:$E$23,0,0,1)</f>
        <v>0</v>
      </c>
    </row>
    <row r="622" spans="1:9" x14ac:dyDescent="0.25">
      <c r="A622" s="1">
        <v>80811705</v>
      </c>
      <c r="B622" s="1" t="s">
        <v>637</v>
      </c>
      <c r="C622" s="1"/>
      <c r="D622" s="21" t="s">
        <v>1225</v>
      </c>
      <c r="E622" s="1" t="s">
        <v>9</v>
      </c>
      <c r="F622" s="1" t="s">
        <v>1226</v>
      </c>
      <c r="G622" s="1" t="s">
        <v>11</v>
      </c>
      <c r="H622" s="9">
        <f>_xlfn.XLOOKUP(Tabla3[[#This Row],[Nit]],Hoja2!A622:A2045,Hoja2!C622:C2045)</f>
        <v>7000000</v>
      </c>
      <c r="I622" s="1">
        <f>_xlfn.XLOOKUP(Tabla3[[#This Row],[Cliente]],'[1]Datos Contacto'!$A$2:$A$23,'[1]Datos Contacto'!$E$2:$E$23,0,0,1)</f>
        <v>0</v>
      </c>
    </row>
    <row r="623" spans="1:9" x14ac:dyDescent="0.25">
      <c r="A623" s="1">
        <v>86065880</v>
      </c>
      <c r="B623" s="1" t="s">
        <v>638</v>
      </c>
      <c r="C623" s="1"/>
      <c r="D623" s="21" t="s">
        <v>1225</v>
      </c>
      <c r="E623" s="1" t="s">
        <v>9</v>
      </c>
      <c r="F623" s="1" t="s">
        <v>1226</v>
      </c>
      <c r="G623" s="1" t="s">
        <v>11</v>
      </c>
      <c r="H623" s="9">
        <f>_xlfn.XLOOKUP(Tabla3[[#This Row],[Nit]],Hoja2!A623:A2046,Hoja2!C623:C2046)</f>
        <v>1000000</v>
      </c>
      <c r="I623" s="1">
        <f>_xlfn.XLOOKUP(Tabla3[[#This Row],[Cliente]],'[1]Datos Contacto'!$A$2:$A$23,'[1]Datos Contacto'!$E$2:$E$23,0,0,1)</f>
        <v>0</v>
      </c>
    </row>
    <row r="624" spans="1:9" x14ac:dyDescent="0.25">
      <c r="A624" s="1">
        <v>901306167</v>
      </c>
      <c r="B624" s="1" t="s">
        <v>639</v>
      </c>
      <c r="C624" s="1"/>
      <c r="D624" s="21" t="s">
        <v>1225</v>
      </c>
      <c r="E624" s="1" t="s">
        <v>6</v>
      </c>
      <c r="F624" s="1" t="s">
        <v>1226</v>
      </c>
      <c r="G624" s="1" t="s">
        <v>7</v>
      </c>
      <c r="H624" s="9">
        <f>_xlfn.XLOOKUP(Tabla3[[#This Row],[Nit]],Hoja2!A624:A2047,Hoja2!C624:C2047)</f>
        <v>3000000</v>
      </c>
      <c r="I624" s="1">
        <f>_xlfn.XLOOKUP(Tabla3[[#This Row],[Cliente]],'[1]Datos Contacto'!$A$2:$A$23,'[1]Datos Contacto'!$E$2:$E$23,0,0,1)</f>
        <v>0</v>
      </c>
    </row>
    <row r="625" spans="1:9" x14ac:dyDescent="0.25">
      <c r="A625" s="1">
        <v>900898950</v>
      </c>
      <c r="B625" s="1" t="s">
        <v>640</v>
      </c>
      <c r="C625" s="1"/>
      <c r="D625" s="21" t="s">
        <v>1225</v>
      </c>
      <c r="E625" s="1" t="s">
        <v>9</v>
      </c>
      <c r="F625" s="1" t="s">
        <v>1226</v>
      </c>
      <c r="G625" s="1" t="s">
        <v>11</v>
      </c>
      <c r="H625" s="9">
        <f>_xlfn.XLOOKUP(Tabla3[[#This Row],[Nit]],Hoja2!A625:A2048,Hoja2!C625:C2048)</f>
        <v>1000000</v>
      </c>
      <c r="I625" s="1">
        <f>_xlfn.XLOOKUP(Tabla3[[#This Row],[Cliente]],'[1]Datos Contacto'!$A$2:$A$23,'[1]Datos Contacto'!$E$2:$E$23,0,0,1)</f>
        <v>0</v>
      </c>
    </row>
    <row r="626" spans="1:9" x14ac:dyDescent="0.25">
      <c r="A626" s="1">
        <v>86070248</v>
      </c>
      <c r="B626" s="1" t="s">
        <v>641</v>
      </c>
      <c r="C626" s="1"/>
      <c r="D626" s="21" t="s">
        <v>1225</v>
      </c>
      <c r="E626" s="1" t="s">
        <v>9</v>
      </c>
      <c r="F626" s="1" t="s">
        <v>1226</v>
      </c>
      <c r="G626" s="1" t="s">
        <v>11</v>
      </c>
      <c r="H626" s="9">
        <f>_xlfn.XLOOKUP(Tabla3[[#This Row],[Nit]],Hoja2!A626:A2049,Hoja2!C626:C2049)</f>
        <v>1000000</v>
      </c>
      <c r="I626" s="1">
        <f>_xlfn.XLOOKUP(Tabla3[[#This Row],[Cliente]],'[1]Datos Contacto'!$A$2:$A$23,'[1]Datos Contacto'!$E$2:$E$23,0,0,1)</f>
        <v>0</v>
      </c>
    </row>
    <row r="627" spans="1:9" x14ac:dyDescent="0.25">
      <c r="A627" s="1">
        <v>10223900239</v>
      </c>
      <c r="B627" s="1" t="s">
        <v>642</v>
      </c>
      <c r="C627" s="1"/>
      <c r="D627" s="21" t="s">
        <v>1225</v>
      </c>
      <c r="E627" s="1" t="s">
        <v>9</v>
      </c>
      <c r="F627" s="1" t="s">
        <v>1226</v>
      </c>
      <c r="G627" s="1" t="s">
        <v>15</v>
      </c>
      <c r="H627" s="9">
        <f>_xlfn.XLOOKUP(Tabla3[[#This Row],[Nit]],Hoja2!A627:A2050,Hoja2!C627:C2050)</f>
        <v>1000000</v>
      </c>
      <c r="I627" s="1">
        <f>_xlfn.XLOOKUP(Tabla3[[#This Row],[Cliente]],'[1]Datos Contacto'!$A$2:$A$23,'[1]Datos Contacto'!$E$2:$E$23,0,0,1)</f>
        <v>0</v>
      </c>
    </row>
    <row r="628" spans="1:9" x14ac:dyDescent="0.25">
      <c r="A628" s="1">
        <v>900108136</v>
      </c>
      <c r="B628" s="1" t="s">
        <v>643</v>
      </c>
      <c r="C628" s="1"/>
      <c r="D628" s="21" t="s">
        <v>1225</v>
      </c>
      <c r="E628" s="1" t="s">
        <v>6</v>
      </c>
      <c r="F628" s="1" t="s">
        <v>1226</v>
      </c>
      <c r="G628" s="1" t="s">
        <v>7</v>
      </c>
      <c r="H628" s="9">
        <f>_xlfn.XLOOKUP(Tabla3[[#This Row],[Nit]],Hoja2!A628:A2051,Hoja2!C628:C2051)</f>
        <v>1000000</v>
      </c>
      <c r="I628" s="1">
        <f>_xlfn.XLOOKUP(Tabla3[[#This Row],[Cliente]],'[1]Datos Contacto'!$A$2:$A$23,'[1]Datos Contacto'!$E$2:$E$23,0,0,1)</f>
        <v>0</v>
      </c>
    </row>
    <row r="629" spans="1:9" x14ac:dyDescent="0.25">
      <c r="A629" s="1">
        <v>901675980</v>
      </c>
      <c r="B629" s="1" t="s">
        <v>644</v>
      </c>
      <c r="C629" s="1"/>
      <c r="D629" s="21" t="s">
        <v>1225</v>
      </c>
      <c r="E629" s="1" t="s">
        <v>9</v>
      </c>
      <c r="F629" s="1" t="s">
        <v>1226</v>
      </c>
      <c r="G629" s="1" t="s">
        <v>7</v>
      </c>
      <c r="H629" s="9">
        <f>_xlfn.XLOOKUP(Tabla3[[#This Row],[Nit]],Hoja2!A629:A2052,Hoja2!C629:C2052)</f>
        <v>8000000</v>
      </c>
      <c r="I629" s="1">
        <f>_xlfn.XLOOKUP(Tabla3[[#This Row],[Cliente]],'[1]Datos Contacto'!$A$2:$A$23,'[1]Datos Contacto'!$E$2:$E$23,0,0,1)</f>
        <v>0</v>
      </c>
    </row>
    <row r="630" spans="1:9" x14ac:dyDescent="0.25">
      <c r="A630" s="1">
        <v>1057488141</v>
      </c>
      <c r="B630" s="1" t="s">
        <v>645</v>
      </c>
      <c r="C630" s="1"/>
      <c r="D630" s="21" t="s">
        <v>1225</v>
      </c>
      <c r="E630" s="1" t="s">
        <v>9</v>
      </c>
      <c r="F630" s="1" t="s">
        <v>1226</v>
      </c>
      <c r="G630" s="1" t="s">
        <v>11</v>
      </c>
      <c r="H630" s="9">
        <f>_xlfn.XLOOKUP(Tabla3[[#This Row],[Nit]],Hoja2!A630:A2053,Hoja2!C630:C2053)</f>
        <v>1000000</v>
      </c>
      <c r="I630" s="1">
        <f>_xlfn.XLOOKUP(Tabla3[[#This Row],[Cliente]],'[1]Datos Contacto'!$A$2:$A$23,'[1]Datos Contacto'!$E$2:$E$23,0,0,1)</f>
        <v>0</v>
      </c>
    </row>
    <row r="631" spans="1:9" x14ac:dyDescent="0.25">
      <c r="A631" s="1">
        <v>901578082</v>
      </c>
      <c r="B631" s="1" t="s">
        <v>646</v>
      </c>
      <c r="C631" s="1"/>
      <c r="D631" s="21" t="s">
        <v>1225</v>
      </c>
      <c r="E631" s="1" t="s">
        <v>9</v>
      </c>
      <c r="F631" s="1" t="s">
        <v>1226</v>
      </c>
      <c r="G631" s="1" t="s">
        <v>7</v>
      </c>
      <c r="H631" s="9">
        <f>_xlfn.XLOOKUP(Tabla3[[#This Row],[Nit]],Hoja2!A631:A2054,Hoja2!C631:C2054)</f>
        <v>1000000</v>
      </c>
      <c r="I631" s="1">
        <f>_xlfn.XLOOKUP(Tabla3[[#This Row],[Cliente]],'[1]Datos Contacto'!$A$2:$A$23,'[1]Datos Contacto'!$E$2:$E$23,0,0,1)</f>
        <v>0</v>
      </c>
    </row>
    <row r="632" spans="1:9" x14ac:dyDescent="0.25">
      <c r="A632" s="1">
        <v>79464418</v>
      </c>
      <c r="B632" s="1" t="s">
        <v>647</v>
      </c>
      <c r="C632" s="1"/>
      <c r="D632" s="21" t="s">
        <v>1225</v>
      </c>
      <c r="E632" s="1" t="s">
        <v>9</v>
      </c>
      <c r="F632" s="1" t="s">
        <v>1226</v>
      </c>
      <c r="G632" s="1" t="s">
        <v>7</v>
      </c>
      <c r="H632" s="9">
        <f>_xlfn.XLOOKUP(Tabla3[[#This Row],[Nit]],Hoja2!A632:A2055,Hoja2!C632:C2055)</f>
        <v>1000000</v>
      </c>
      <c r="I632" s="1">
        <f>_xlfn.XLOOKUP(Tabla3[[#This Row],[Cliente]],'[1]Datos Contacto'!$A$2:$A$23,'[1]Datos Contacto'!$E$2:$E$23,0,0,1)</f>
        <v>0</v>
      </c>
    </row>
    <row r="633" spans="1:9" x14ac:dyDescent="0.25">
      <c r="A633" s="1">
        <v>700185567</v>
      </c>
      <c r="B633" s="1" t="s">
        <v>648</v>
      </c>
      <c r="C633" s="1"/>
      <c r="D633" s="21" t="s">
        <v>1225</v>
      </c>
      <c r="E633" s="1" t="s">
        <v>9</v>
      </c>
      <c r="F633" s="1" t="s">
        <v>1226</v>
      </c>
      <c r="G633" s="1" t="s">
        <v>7</v>
      </c>
      <c r="H633" s="9">
        <f>_xlfn.XLOOKUP(Tabla3[[#This Row],[Nit]],Hoja2!A633:A2056,Hoja2!C633:C2056)</f>
        <v>1000000</v>
      </c>
      <c r="I633" s="1">
        <f>_xlfn.XLOOKUP(Tabla3[[#This Row],[Cliente]],'[1]Datos Contacto'!$A$2:$A$23,'[1]Datos Contacto'!$E$2:$E$23,0,0,1)</f>
        <v>0</v>
      </c>
    </row>
    <row r="634" spans="1:9" x14ac:dyDescent="0.25">
      <c r="A634" s="1">
        <v>900170958</v>
      </c>
      <c r="B634" s="1" t="s">
        <v>649</v>
      </c>
      <c r="C634" s="1"/>
      <c r="D634" s="21" t="s">
        <v>1225</v>
      </c>
      <c r="E634" s="1" t="s">
        <v>9</v>
      </c>
      <c r="F634" s="1" t="s">
        <v>1226</v>
      </c>
      <c r="G634" s="1" t="s">
        <v>20</v>
      </c>
      <c r="H634" s="9">
        <f>_xlfn.XLOOKUP(Tabla3[[#This Row],[Nit]],Hoja2!A634:A2057,Hoja2!C634:C2057)</f>
        <v>15000000</v>
      </c>
      <c r="I634" s="1">
        <f>_xlfn.XLOOKUP(Tabla3[[#This Row],[Cliente]],'[1]Datos Contacto'!$A$2:$A$23,'[1]Datos Contacto'!$E$2:$E$23,0,0,1)</f>
        <v>0</v>
      </c>
    </row>
    <row r="635" spans="1:9" x14ac:dyDescent="0.25">
      <c r="A635" s="1">
        <v>384</v>
      </c>
      <c r="B635" s="1" t="s">
        <v>650</v>
      </c>
      <c r="C635" s="1"/>
      <c r="D635" s="21" t="s">
        <v>1225</v>
      </c>
      <c r="E635" s="1" t="s">
        <v>9</v>
      </c>
      <c r="F635" s="1" t="s">
        <v>1226</v>
      </c>
      <c r="G635" s="1" t="s">
        <v>11</v>
      </c>
      <c r="H635" s="9">
        <f>_xlfn.XLOOKUP(Tabla3[[#This Row],[Nit]],Hoja2!A635:A2058,Hoja2!C635:C2058)</f>
        <v>1000000</v>
      </c>
      <c r="I635" s="1">
        <f>_xlfn.XLOOKUP(Tabla3[[#This Row],[Cliente]],'[1]Datos Contacto'!$A$2:$A$23,'[1]Datos Contacto'!$E$2:$E$23,0,0,1)</f>
        <v>0</v>
      </c>
    </row>
    <row r="636" spans="1:9" x14ac:dyDescent="0.25">
      <c r="A636" s="1">
        <v>93456213</v>
      </c>
      <c r="B636" s="1" t="s">
        <v>651</v>
      </c>
      <c r="C636" s="1"/>
      <c r="D636" s="21" t="s">
        <v>1225</v>
      </c>
      <c r="E636" s="1" t="s">
        <v>9</v>
      </c>
      <c r="F636" s="1" t="s">
        <v>1226</v>
      </c>
      <c r="G636" s="1" t="s">
        <v>15</v>
      </c>
      <c r="H636" s="9">
        <f>_xlfn.XLOOKUP(Tabla3[[#This Row],[Nit]],Hoja2!A636:A2059,Hoja2!C636:C2059)</f>
        <v>1000000</v>
      </c>
      <c r="I636" s="1">
        <f>_xlfn.XLOOKUP(Tabla3[[#This Row],[Cliente]],'[1]Datos Contacto'!$A$2:$A$23,'[1]Datos Contacto'!$E$2:$E$23,0,0,1)</f>
        <v>0</v>
      </c>
    </row>
    <row r="637" spans="1:9" x14ac:dyDescent="0.25">
      <c r="A637" s="1">
        <v>80826238</v>
      </c>
      <c r="B637" s="1" t="s">
        <v>652</v>
      </c>
      <c r="C637" s="1"/>
      <c r="D637" s="21" t="s">
        <v>1225</v>
      </c>
      <c r="E637" s="1" t="s">
        <v>9</v>
      </c>
      <c r="F637" s="1" t="s">
        <v>1226</v>
      </c>
      <c r="G637" s="1" t="s">
        <v>11</v>
      </c>
      <c r="H637" s="9">
        <f>_xlfn.XLOOKUP(Tabla3[[#This Row],[Nit]],Hoja2!A637:A2060,Hoja2!C637:C2060)</f>
        <v>1000000</v>
      </c>
      <c r="I637" s="1">
        <f>_xlfn.XLOOKUP(Tabla3[[#This Row],[Cliente]],'[1]Datos Contacto'!$A$2:$A$23,'[1]Datos Contacto'!$E$2:$E$23,0,0,1)</f>
        <v>0</v>
      </c>
    </row>
    <row r="638" spans="1:9" x14ac:dyDescent="0.25">
      <c r="A638" s="1">
        <v>4287694</v>
      </c>
      <c r="B638" s="1" t="s">
        <v>653</v>
      </c>
      <c r="C638" s="1"/>
      <c r="D638" s="21" t="s">
        <v>1225</v>
      </c>
      <c r="E638" s="1" t="s">
        <v>9</v>
      </c>
      <c r="F638" s="1" t="s">
        <v>1226</v>
      </c>
      <c r="G638" s="1" t="s">
        <v>11</v>
      </c>
      <c r="H638" s="9">
        <f>_xlfn.XLOOKUP(Tabla3[[#This Row],[Nit]],Hoja2!A638:A2061,Hoja2!C638:C2061)</f>
        <v>1000000</v>
      </c>
      <c r="I638" s="1">
        <f>_xlfn.XLOOKUP(Tabla3[[#This Row],[Cliente]],'[1]Datos Contacto'!$A$2:$A$23,'[1]Datos Contacto'!$E$2:$E$23,0,0,1)</f>
        <v>0</v>
      </c>
    </row>
    <row r="639" spans="1:9" x14ac:dyDescent="0.25">
      <c r="A639" s="1">
        <v>13620500</v>
      </c>
      <c r="B639" s="1" t="s">
        <v>654</v>
      </c>
      <c r="C639" s="1"/>
      <c r="D639" s="21" t="s">
        <v>1225</v>
      </c>
      <c r="E639" s="1" t="s">
        <v>9</v>
      </c>
      <c r="F639" s="1" t="s">
        <v>1226</v>
      </c>
      <c r="G639" s="1" t="s">
        <v>11</v>
      </c>
      <c r="H639" s="9">
        <f>_xlfn.XLOOKUP(Tabla3[[#This Row],[Nit]],Hoja2!A639:A2062,Hoja2!C639:C2062)</f>
        <v>1000000</v>
      </c>
      <c r="I639" s="1">
        <f>_xlfn.XLOOKUP(Tabla3[[#This Row],[Cliente]],'[1]Datos Contacto'!$A$2:$A$23,'[1]Datos Contacto'!$E$2:$E$23,0,0,1)</f>
        <v>0</v>
      </c>
    </row>
    <row r="640" spans="1:9" x14ac:dyDescent="0.25">
      <c r="A640" s="1">
        <v>901620208</v>
      </c>
      <c r="B640" s="1" t="s">
        <v>655</v>
      </c>
      <c r="C640" s="1"/>
      <c r="D640" s="21" t="s">
        <v>1225</v>
      </c>
      <c r="E640" s="1" t="s">
        <v>9</v>
      </c>
      <c r="F640" s="1" t="s">
        <v>1226</v>
      </c>
      <c r="G640" s="1" t="s">
        <v>7</v>
      </c>
      <c r="H640" s="9">
        <f>_xlfn.XLOOKUP(Tabla3[[#This Row],[Nit]],Hoja2!A640:A2063,Hoja2!C640:C2063)</f>
        <v>1000000</v>
      </c>
      <c r="I640" s="1">
        <f>_xlfn.XLOOKUP(Tabla3[[#This Row],[Cliente]],'[1]Datos Contacto'!$A$2:$A$23,'[1]Datos Contacto'!$E$2:$E$23,0,0,1)</f>
        <v>0</v>
      </c>
    </row>
    <row r="641" spans="1:9" x14ac:dyDescent="0.25">
      <c r="A641" s="1">
        <v>900934928</v>
      </c>
      <c r="B641" s="1" t="s">
        <v>656</v>
      </c>
      <c r="C641" s="1"/>
      <c r="D641" s="21" t="s">
        <v>1225</v>
      </c>
      <c r="E641" s="1" t="s">
        <v>9</v>
      </c>
      <c r="F641" s="1" t="s">
        <v>1226</v>
      </c>
      <c r="G641" s="1" t="s">
        <v>11</v>
      </c>
      <c r="H641" s="9">
        <f>_xlfn.XLOOKUP(Tabla3[[#This Row],[Nit]],Hoja2!A641:A2064,Hoja2!C641:C2064)</f>
        <v>60000000</v>
      </c>
      <c r="I641" s="1">
        <f>_xlfn.XLOOKUP(Tabla3[[#This Row],[Cliente]],'[1]Datos Contacto'!$A$2:$A$23,'[1]Datos Contacto'!$E$2:$E$23,0,0,1)</f>
        <v>0</v>
      </c>
    </row>
    <row r="642" spans="1:9" x14ac:dyDescent="0.25">
      <c r="A642" s="1">
        <v>830066009</v>
      </c>
      <c r="B642" s="1" t="s">
        <v>657</v>
      </c>
      <c r="C642" s="1"/>
      <c r="D642" s="21" t="s">
        <v>1225</v>
      </c>
      <c r="E642" s="1" t="s">
        <v>9</v>
      </c>
      <c r="F642" s="1" t="s">
        <v>1226</v>
      </c>
      <c r="G642" s="1" t="s">
        <v>15</v>
      </c>
      <c r="H642" s="9">
        <f>_xlfn.XLOOKUP(Tabla3[[#This Row],[Nit]],Hoja2!A642:A2065,Hoja2!C642:C2065)</f>
        <v>2000000</v>
      </c>
      <c r="I642" s="1">
        <f>_xlfn.XLOOKUP(Tabla3[[#This Row],[Cliente]],'[1]Datos Contacto'!$A$2:$A$23,'[1]Datos Contacto'!$E$2:$E$23,0,0,1)</f>
        <v>0</v>
      </c>
    </row>
    <row r="643" spans="1:9" x14ac:dyDescent="0.25">
      <c r="A643" s="1">
        <v>901226957</v>
      </c>
      <c r="B643" s="1" t="s">
        <v>658</v>
      </c>
      <c r="C643" s="1"/>
      <c r="D643" s="21" t="s">
        <v>1225</v>
      </c>
      <c r="E643" s="1" t="s">
        <v>6</v>
      </c>
      <c r="F643" s="1" t="s">
        <v>1226</v>
      </c>
      <c r="G643" s="1" t="s">
        <v>7</v>
      </c>
      <c r="H643" s="9">
        <f>_xlfn.XLOOKUP(Tabla3[[#This Row],[Nit]],Hoja2!A643:A2066,Hoja2!C643:C2066)</f>
        <v>20000000</v>
      </c>
      <c r="I643" s="1">
        <f>_xlfn.XLOOKUP(Tabla3[[#This Row],[Cliente]],'[1]Datos Contacto'!$A$2:$A$23,'[1]Datos Contacto'!$E$2:$E$23,0,0,1)</f>
        <v>0</v>
      </c>
    </row>
    <row r="644" spans="1:9" x14ac:dyDescent="0.25">
      <c r="A644" s="1">
        <v>901262730</v>
      </c>
      <c r="B644" s="1" t="s">
        <v>659</v>
      </c>
      <c r="C644" s="1"/>
      <c r="D644" s="21" t="s">
        <v>1225</v>
      </c>
      <c r="E644" s="1" t="s">
        <v>79</v>
      </c>
      <c r="F644" s="1" t="s">
        <v>1226</v>
      </c>
      <c r="G644" s="1" t="s">
        <v>7</v>
      </c>
      <c r="H644" s="9">
        <f>_xlfn.XLOOKUP(Tabla3[[#This Row],[Nit]],Hoja2!A644:A2067,Hoja2!C644:C2067)</f>
        <v>11000000</v>
      </c>
      <c r="I644" s="1">
        <f>_xlfn.XLOOKUP(Tabla3[[#This Row],[Cliente]],'[1]Datos Contacto'!$A$2:$A$23,'[1]Datos Contacto'!$E$2:$E$23,0,0,1)</f>
        <v>0</v>
      </c>
    </row>
    <row r="645" spans="1:9" x14ac:dyDescent="0.25">
      <c r="A645" s="1">
        <v>860065656</v>
      </c>
      <c r="B645" s="1" t="s">
        <v>660</v>
      </c>
      <c r="C645" s="1"/>
      <c r="D645" s="21" t="s">
        <v>1225</v>
      </c>
      <c r="E645" s="1" t="s">
        <v>9</v>
      </c>
      <c r="F645" s="1" t="s">
        <v>1226</v>
      </c>
      <c r="G645" s="1" t="s">
        <v>11</v>
      </c>
      <c r="H645" s="9">
        <f>_xlfn.XLOOKUP(Tabla3[[#This Row],[Nit]],Hoja2!A645:A2068,Hoja2!C645:C2068)</f>
        <v>1000000</v>
      </c>
      <c r="I645" s="1">
        <f>_xlfn.XLOOKUP(Tabla3[[#This Row],[Cliente]],'[1]Datos Contacto'!$A$2:$A$23,'[1]Datos Contacto'!$E$2:$E$23,0,0,1)</f>
        <v>0</v>
      </c>
    </row>
    <row r="646" spans="1:9" x14ac:dyDescent="0.25">
      <c r="A646" s="1">
        <v>900561507</v>
      </c>
      <c r="B646" s="1" t="s">
        <v>661</v>
      </c>
      <c r="C646" s="1"/>
      <c r="D646" s="21" t="s">
        <v>1225</v>
      </c>
      <c r="E646" s="1" t="s">
        <v>9</v>
      </c>
      <c r="F646" s="1" t="s">
        <v>1226</v>
      </c>
      <c r="G646" s="1" t="s">
        <v>7</v>
      </c>
      <c r="H646" s="9">
        <f>_xlfn.XLOOKUP(Tabla3[[#This Row],[Nit]],Hoja2!A646:A2069,Hoja2!C646:C2069)</f>
        <v>1000000</v>
      </c>
      <c r="I646" s="1">
        <f>_xlfn.XLOOKUP(Tabla3[[#This Row],[Cliente]],'[1]Datos Contacto'!$A$2:$A$23,'[1]Datos Contacto'!$E$2:$E$23,0,0,1)</f>
        <v>0</v>
      </c>
    </row>
    <row r="647" spans="1:9" x14ac:dyDescent="0.25">
      <c r="A647" s="1">
        <v>900062666</v>
      </c>
      <c r="B647" s="1" t="s">
        <v>662</v>
      </c>
      <c r="C647" s="1"/>
      <c r="D647" s="21" t="s">
        <v>1225</v>
      </c>
      <c r="E647" s="1" t="s">
        <v>9</v>
      </c>
      <c r="F647" s="1" t="s">
        <v>1226</v>
      </c>
      <c r="G647" s="1" t="s">
        <v>11</v>
      </c>
      <c r="H647" s="9">
        <f>_xlfn.XLOOKUP(Tabla3[[#This Row],[Nit]],Hoja2!A647:A2070,Hoja2!C647:C2070)</f>
        <v>1000000</v>
      </c>
      <c r="I647" s="1">
        <f>_xlfn.XLOOKUP(Tabla3[[#This Row],[Cliente]],'[1]Datos Contacto'!$A$2:$A$23,'[1]Datos Contacto'!$E$2:$E$23,0,0,1)</f>
        <v>0</v>
      </c>
    </row>
    <row r="648" spans="1:9" x14ac:dyDescent="0.25">
      <c r="A648" s="1">
        <v>900763972</v>
      </c>
      <c r="B648" s="1" t="s">
        <v>663</v>
      </c>
      <c r="C648" s="1"/>
      <c r="D648" s="21" t="s">
        <v>1225</v>
      </c>
      <c r="E648" s="1" t="s">
        <v>9</v>
      </c>
      <c r="F648" s="1" t="s">
        <v>1226</v>
      </c>
      <c r="G648" s="1" t="s">
        <v>20</v>
      </c>
      <c r="H648" s="9">
        <f>_xlfn.XLOOKUP(Tabla3[[#This Row],[Nit]],Hoja2!A648:A2071,Hoja2!C648:C2071)</f>
        <v>1000000</v>
      </c>
      <c r="I648" s="1">
        <f>_xlfn.XLOOKUP(Tabla3[[#This Row],[Cliente]],'[1]Datos Contacto'!$A$2:$A$23,'[1]Datos Contacto'!$E$2:$E$23,0,0,1)</f>
        <v>0</v>
      </c>
    </row>
    <row r="649" spans="1:9" x14ac:dyDescent="0.25">
      <c r="A649" s="1">
        <v>860045409</v>
      </c>
      <c r="B649" s="1" t="s">
        <v>664</v>
      </c>
      <c r="C649" s="1"/>
      <c r="D649" s="21" t="s">
        <v>1225</v>
      </c>
      <c r="E649" s="1" t="s">
        <v>9</v>
      </c>
      <c r="F649" s="1" t="s">
        <v>1226</v>
      </c>
      <c r="G649" s="1" t="s">
        <v>11</v>
      </c>
      <c r="H649" s="9">
        <f>_xlfn.XLOOKUP(Tabla3[[#This Row],[Nit]],Hoja2!A649:A2072,Hoja2!C649:C2072)</f>
        <v>9000000</v>
      </c>
      <c r="I649" s="1">
        <f>_xlfn.XLOOKUP(Tabla3[[#This Row],[Cliente]],'[1]Datos Contacto'!$A$2:$A$23,'[1]Datos Contacto'!$E$2:$E$23,0,0,1)</f>
        <v>0</v>
      </c>
    </row>
    <row r="650" spans="1:9" x14ac:dyDescent="0.25">
      <c r="A650" s="1">
        <v>900584625</v>
      </c>
      <c r="B650" s="1" t="s">
        <v>665</v>
      </c>
      <c r="C650" s="1"/>
      <c r="D650" s="21" t="s">
        <v>1225</v>
      </c>
      <c r="E650" s="1" t="s">
        <v>6</v>
      </c>
      <c r="F650" s="1" t="s">
        <v>1226</v>
      </c>
      <c r="G650" s="1" t="s">
        <v>20</v>
      </c>
      <c r="H650" s="9">
        <f>_xlfn.XLOOKUP(Tabla3[[#This Row],[Nit]],Hoja2!A650:A2073,Hoja2!C650:C2073)</f>
        <v>1000000</v>
      </c>
      <c r="I650" s="1">
        <f>_xlfn.XLOOKUP(Tabla3[[#This Row],[Cliente]],'[1]Datos Contacto'!$A$2:$A$23,'[1]Datos Contacto'!$E$2:$E$23,0,0,1)</f>
        <v>0</v>
      </c>
    </row>
    <row r="651" spans="1:9" x14ac:dyDescent="0.25">
      <c r="A651" s="1">
        <v>900123316</v>
      </c>
      <c r="B651" s="1" t="s">
        <v>666</v>
      </c>
      <c r="C651" s="1"/>
      <c r="D651" s="21" t="s">
        <v>1225</v>
      </c>
      <c r="E651" s="1" t="s">
        <v>9</v>
      </c>
      <c r="F651" s="1" t="s">
        <v>1226</v>
      </c>
      <c r="G651" s="1" t="s">
        <v>15</v>
      </c>
      <c r="H651" s="9">
        <f>_xlfn.XLOOKUP(Tabla3[[#This Row],[Nit]],Hoja2!A651:A2074,Hoja2!C651:C2074)</f>
        <v>1000000</v>
      </c>
      <c r="I651" s="1">
        <f>_xlfn.XLOOKUP(Tabla3[[#This Row],[Cliente]],'[1]Datos Contacto'!$A$2:$A$23,'[1]Datos Contacto'!$E$2:$E$23,0,0,1)</f>
        <v>0</v>
      </c>
    </row>
    <row r="652" spans="1:9" x14ac:dyDescent="0.25">
      <c r="A652" s="1">
        <v>900487580</v>
      </c>
      <c r="B652" s="1" t="s">
        <v>667</v>
      </c>
      <c r="C652" s="1"/>
      <c r="D652" s="21" t="s">
        <v>1225</v>
      </c>
      <c r="E652" s="1" t="s">
        <v>9</v>
      </c>
      <c r="F652" s="1" t="s">
        <v>1226</v>
      </c>
      <c r="G652" s="1" t="s">
        <v>11</v>
      </c>
      <c r="H652" s="9">
        <f>_xlfn.XLOOKUP(Tabla3[[#This Row],[Nit]],Hoja2!A652:A2075,Hoja2!C652:C2075)</f>
        <v>1000000</v>
      </c>
      <c r="I652" s="1">
        <f>_xlfn.XLOOKUP(Tabla3[[#This Row],[Cliente]],'[1]Datos Contacto'!$A$2:$A$23,'[1]Datos Contacto'!$E$2:$E$23,0,0,1)</f>
        <v>0</v>
      </c>
    </row>
    <row r="653" spans="1:9" x14ac:dyDescent="0.25">
      <c r="A653" s="1">
        <v>399</v>
      </c>
      <c r="B653" s="1" t="s">
        <v>668</v>
      </c>
      <c r="C653" s="1"/>
      <c r="D653" s="21" t="s">
        <v>1225</v>
      </c>
      <c r="E653" s="1" t="s">
        <v>9</v>
      </c>
      <c r="F653" s="1" t="s">
        <v>1226</v>
      </c>
      <c r="G653" s="1" t="s">
        <v>11</v>
      </c>
      <c r="H653" s="9">
        <f>_xlfn.XLOOKUP(Tabla3[[#This Row],[Nit]],Hoja2!A653:A2076,Hoja2!C653:C2076)</f>
        <v>1000000</v>
      </c>
      <c r="I653" s="1">
        <f>_xlfn.XLOOKUP(Tabla3[[#This Row],[Cliente]],'[1]Datos Contacto'!$A$2:$A$23,'[1]Datos Contacto'!$E$2:$E$23,0,0,1)</f>
        <v>0</v>
      </c>
    </row>
    <row r="654" spans="1:9" x14ac:dyDescent="0.25">
      <c r="A654" s="1">
        <v>20</v>
      </c>
      <c r="B654" s="1" t="s">
        <v>669</v>
      </c>
      <c r="C654" s="1"/>
      <c r="D654" s="21" t="s">
        <v>1225</v>
      </c>
      <c r="E654" s="1" t="s">
        <v>9</v>
      </c>
      <c r="F654" s="1" t="s">
        <v>1226</v>
      </c>
      <c r="G654" s="1" t="s">
        <v>11</v>
      </c>
      <c r="H654" s="9">
        <f>_xlfn.XLOOKUP(Tabla3[[#This Row],[Nit]],Hoja2!A654:A2077,Hoja2!C654:C2077)</f>
        <v>1000000</v>
      </c>
      <c r="I654" s="1">
        <f>_xlfn.XLOOKUP(Tabla3[[#This Row],[Cliente]],'[1]Datos Contacto'!$A$2:$A$23,'[1]Datos Contacto'!$E$2:$E$23,0,0,1)</f>
        <v>0</v>
      </c>
    </row>
    <row r="655" spans="1:9" x14ac:dyDescent="0.25">
      <c r="A655" s="1">
        <v>428</v>
      </c>
      <c r="B655" s="1" t="s">
        <v>670</v>
      </c>
      <c r="C655" s="1"/>
      <c r="D655" s="21" t="s">
        <v>1225</v>
      </c>
      <c r="E655" s="1" t="s">
        <v>9</v>
      </c>
      <c r="F655" s="1" t="s">
        <v>1226</v>
      </c>
      <c r="G655" s="1" t="s">
        <v>36</v>
      </c>
      <c r="H655" s="9">
        <f>_xlfn.XLOOKUP(Tabla3[[#This Row],[Nit]],Hoja2!A655:A2078,Hoja2!C655:C2078)</f>
        <v>1000000</v>
      </c>
      <c r="I655" s="1">
        <f>_xlfn.XLOOKUP(Tabla3[[#This Row],[Cliente]],'[1]Datos Contacto'!$A$2:$A$23,'[1]Datos Contacto'!$E$2:$E$23,0,0,1)</f>
        <v>0</v>
      </c>
    </row>
    <row r="656" spans="1:9" x14ac:dyDescent="0.25">
      <c r="A656" s="1">
        <v>901166805</v>
      </c>
      <c r="B656" s="1" t="s">
        <v>671</v>
      </c>
      <c r="C656" s="1"/>
      <c r="D656" s="21" t="s">
        <v>1225</v>
      </c>
      <c r="E656" s="1" t="s">
        <v>6</v>
      </c>
      <c r="F656" s="1" t="s">
        <v>1226</v>
      </c>
      <c r="G656" s="1" t="s">
        <v>7</v>
      </c>
      <c r="H656" s="9">
        <f>_xlfn.XLOOKUP(Tabla3[[#This Row],[Nit]],Hoja2!A656:A2079,Hoja2!C656:C2079)</f>
        <v>30000000</v>
      </c>
      <c r="I656" s="1">
        <f>_xlfn.XLOOKUP(Tabla3[[#This Row],[Cliente]],'[1]Datos Contacto'!$A$2:$A$23,'[1]Datos Contacto'!$E$2:$E$23,0,0,1)</f>
        <v>0</v>
      </c>
    </row>
    <row r="657" spans="1:9" x14ac:dyDescent="0.25">
      <c r="A657" s="1">
        <v>901601393</v>
      </c>
      <c r="B657" s="1" t="s">
        <v>672</v>
      </c>
      <c r="C657" s="1"/>
      <c r="D657" s="21" t="s">
        <v>1225</v>
      </c>
      <c r="E657" s="1" t="s">
        <v>9</v>
      </c>
      <c r="F657" s="1" t="s">
        <v>1226</v>
      </c>
      <c r="G657" s="1" t="s">
        <v>7</v>
      </c>
      <c r="H657" s="9">
        <f>_xlfn.XLOOKUP(Tabla3[[#This Row],[Nit]],Hoja2!A657:A2080,Hoja2!C657:C2080)</f>
        <v>1000000</v>
      </c>
      <c r="I657" s="1">
        <f>_xlfn.XLOOKUP(Tabla3[[#This Row],[Cliente]],'[1]Datos Contacto'!$A$2:$A$23,'[1]Datos Contacto'!$E$2:$E$23,0,0,1)</f>
        <v>0</v>
      </c>
    </row>
    <row r="658" spans="1:9" x14ac:dyDescent="0.25">
      <c r="A658" s="1">
        <v>901103672</v>
      </c>
      <c r="B658" s="1" t="s">
        <v>673</v>
      </c>
      <c r="C658" s="1"/>
      <c r="D658" s="21" t="s">
        <v>1225</v>
      </c>
      <c r="E658" s="1" t="s">
        <v>9</v>
      </c>
      <c r="F658" s="1" t="s">
        <v>1226</v>
      </c>
      <c r="G658" s="1" t="s">
        <v>7</v>
      </c>
      <c r="H658" s="9">
        <f>_xlfn.XLOOKUP(Tabla3[[#This Row],[Nit]],Hoja2!A658:A2081,Hoja2!C658:C2081)</f>
        <v>5000000</v>
      </c>
      <c r="I658" s="1">
        <f>_xlfn.XLOOKUP(Tabla3[[#This Row],[Cliente]],'[1]Datos Contacto'!$A$2:$A$23,'[1]Datos Contacto'!$E$2:$E$23,0,0,1)</f>
        <v>0</v>
      </c>
    </row>
    <row r="659" spans="1:9" x14ac:dyDescent="0.25">
      <c r="A659" s="1">
        <v>900897183</v>
      </c>
      <c r="B659" s="1" t="s">
        <v>674</v>
      </c>
      <c r="C659" s="1"/>
      <c r="D659" s="21" t="s">
        <v>1225</v>
      </c>
      <c r="E659" s="1" t="s">
        <v>79</v>
      </c>
      <c r="F659" s="1" t="s">
        <v>1226</v>
      </c>
      <c r="G659" s="1" t="s">
        <v>7</v>
      </c>
      <c r="H659" s="9">
        <f>_xlfn.XLOOKUP(Tabla3[[#This Row],[Nit]],Hoja2!A659:A2082,Hoja2!C659:C2082)</f>
        <v>1000000</v>
      </c>
      <c r="I659" s="1">
        <f>_xlfn.XLOOKUP(Tabla3[[#This Row],[Cliente]],'[1]Datos Contacto'!$A$2:$A$23,'[1]Datos Contacto'!$E$2:$E$23,0,0,1)</f>
        <v>0</v>
      </c>
    </row>
    <row r="660" spans="1:9" x14ac:dyDescent="0.25">
      <c r="A660" s="1">
        <v>1030616697</v>
      </c>
      <c r="B660" s="1" t="s">
        <v>675</v>
      </c>
      <c r="C660" s="1"/>
      <c r="D660" s="21" t="s">
        <v>1225</v>
      </c>
      <c r="E660" s="1" t="s">
        <v>9</v>
      </c>
      <c r="F660" s="1" t="s">
        <v>1226</v>
      </c>
      <c r="G660" s="1" t="s">
        <v>20</v>
      </c>
      <c r="H660" s="9">
        <f>_xlfn.XLOOKUP(Tabla3[[#This Row],[Nit]],Hoja2!A660:A2083,Hoja2!C660:C2083)</f>
        <v>1000000</v>
      </c>
      <c r="I660" s="1">
        <f>_xlfn.XLOOKUP(Tabla3[[#This Row],[Cliente]],'[1]Datos Contacto'!$A$2:$A$23,'[1]Datos Contacto'!$E$2:$E$23,0,0,1)</f>
        <v>0</v>
      </c>
    </row>
    <row r="661" spans="1:9" x14ac:dyDescent="0.25">
      <c r="A661" s="1">
        <v>39747433</v>
      </c>
      <c r="B661" s="1" t="s">
        <v>676</v>
      </c>
      <c r="C661" s="1"/>
      <c r="D661" s="21" t="s">
        <v>1225</v>
      </c>
      <c r="E661" s="1" t="s">
        <v>9</v>
      </c>
      <c r="F661" s="1" t="s">
        <v>1226</v>
      </c>
      <c r="G661" s="1" t="s">
        <v>15</v>
      </c>
      <c r="H661" s="9">
        <f>_xlfn.XLOOKUP(Tabla3[[#This Row],[Nit]],Hoja2!A661:A2084,Hoja2!C661:C2084)</f>
        <v>1000000</v>
      </c>
      <c r="I661" s="1">
        <f>_xlfn.XLOOKUP(Tabla3[[#This Row],[Cliente]],'[1]Datos Contacto'!$A$2:$A$23,'[1]Datos Contacto'!$E$2:$E$23,0,0,1)</f>
        <v>0</v>
      </c>
    </row>
    <row r="662" spans="1:9" x14ac:dyDescent="0.25">
      <c r="A662" s="1">
        <v>80032413</v>
      </c>
      <c r="B662" s="1" t="s">
        <v>677</v>
      </c>
      <c r="C662" s="1"/>
      <c r="D662" s="21" t="s">
        <v>1225</v>
      </c>
      <c r="E662" s="1" t="s">
        <v>9</v>
      </c>
      <c r="F662" s="1" t="s">
        <v>1226</v>
      </c>
      <c r="G662" s="1" t="s">
        <v>11</v>
      </c>
      <c r="H662" s="9">
        <f>_xlfn.XLOOKUP(Tabla3[[#This Row],[Nit]],Hoja2!A662:A2085,Hoja2!C662:C2085)</f>
        <v>1000000</v>
      </c>
      <c r="I662" s="1">
        <f>_xlfn.XLOOKUP(Tabla3[[#This Row],[Cliente]],'[1]Datos Contacto'!$A$2:$A$23,'[1]Datos Contacto'!$E$2:$E$23,0,0,1)</f>
        <v>0</v>
      </c>
    </row>
    <row r="663" spans="1:9" x14ac:dyDescent="0.25">
      <c r="A663" s="1">
        <v>182</v>
      </c>
      <c r="B663" s="1" t="s">
        <v>678</v>
      </c>
      <c r="C663" s="1"/>
      <c r="D663" s="21" t="s">
        <v>1225</v>
      </c>
      <c r="E663" s="1" t="s">
        <v>9</v>
      </c>
      <c r="F663" s="1" t="s">
        <v>1226</v>
      </c>
      <c r="G663" s="1" t="s">
        <v>7</v>
      </c>
      <c r="H663" s="9">
        <f>_xlfn.XLOOKUP(Tabla3[[#This Row],[Nit]],Hoja2!A663:A2086,Hoja2!C663:C2086)</f>
        <v>1000000</v>
      </c>
      <c r="I663" s="1">
        <f>_xlfn.XLOOKUP(Tabla3[[#This Row],[Cliente]],'[1]Datos Contacto'!$A$2:$A$23,'[1]Datos Contacto'!$E$2:$E$23,0,0,1)</f>
        <v>0</v>
      </c>
    </row>
    <row r="664" spans="1:9" x14ac:dyDescent="0.25">
      <c r="A664" s="1">
        <v>901364147</v>
      </c>
      <c r="B664" s="1" t="s">
        <v>679</v>
      </c>
      <c r="C664" s="1"/>
      <c r="D664" s="21" t="s">
        <v>1225</v>
      </c>
      <c r="E664" s="1" t="s">
        <v>9</v>
      </c>
      <c r="F664" s="1" t="s">
        <v>1226</v>
      </c>
      <c r="G664" s="1" t="s">
        <v>7</v>
      </c>
      <c r="H664" s="9">
        <f>_xlfn.XLOOKUP(Tabla3[[#This Row],[Nit]],Hoja2!A664:A2087,Hoja2!C664:C2087)</f>
        <v>1000000</v>
      </c>
      <c r="I664" s="1">
        <f>_xlfn.XLOOKUP(Tabla3[[#This Row],[Cliente]],'[1]Datos Contacto'!$A$2:$A$23,'[1]Datos Contacto'!$E$2:$E$23,0,0,1)</f>
        <v>0</v>
      </c>
    </row>
    <row r="665" spans="1:9" x14ac:dyDescent="0.25">
      <c r="A665" s="1">
        <v>901531814</v>
      </c>
      <c r="B665" s="1" t="s">
        <v>680</v>
      </c>
      <c r="C665" s="1"/>
      <c r="D665" s="21" t="s">
        <v>1225</v>
      </c>
      <c r="E665" s="1" t="s">
        <v>9</v>
      </c>
      <c r="F665" s="1" t="s">
        <v>1226</v>
      </c>
      <c r="G665" s="1" t="s">
        <v>7</v>
      </c>
      <c r="H665" s="9">
        <f>_xlfn.XLOOKUP(Tabla3[[#This Row],[Nit]],Hoja2!A665:A2088,Hoja2!C665:C2088)</f>
        <v>10000000</v>
      </c>
      <c r="I665" s="1">
        <f>_xlfn.XLOOKUP(Tabla3[[#This Row],[Cliente]],'[1]Datos Contacto'!$A$2:$A$23,'[1]Datos Contacto'!$E$2:$E$23,0,0,1)</f>
        <v>0</v>
      </c>
    </row>
    <row r="666" spans="1:9" x14ac:dyDescent="0.25">
      <c r="A666" s="1">
        <v>86003845</v>
      </c>
      <c r="B666" s="1" t="s">
        <v>681</v>
      </c>
      <c r="C666" s="1"/>
      <c r="D666" s="21" t="s">
        <v>1225</v>
      </c>
      <c r="E666" s="1" t="s">
        <v>9</v>
      </c>
      <c r="F666" s="1" t="s">
        <v>1226</v>
      </c>
      <c r="G666" s="1" t="s">
        <v>11</v>
      </c>
      <c r="H666" s="9">
        <f>_xlfn.XLOOKUP(Tabla3[[#This Row],[Nit]],Hoja2!A666:A2089,Hoja2!C666:C2089)</f>
        <v>1000000</v>
      </c>
      <c r="I666" s="1">
        <f>_xlfn.XLOOKUP(Tabla3[[#This Row],[Cliente]],'[1]Datos Contacto'!$A$2:$A$23,'[1]Datos Contacto'!$E$2:$E$23,0,0,1)</f>
        <v>0</v>
      </c>
    </row>
    <row r="667" spans="1:9" x14ac:dyDescent="0.25">
      <c r="A667" s="1">
        <v>79945655</v>
      </c>
      <c r="B667" s="1" t="s">
        <v>682</v>
      </c>
      <c r="C667" s="1"/>
      <c r="D667" s="21" t="s">
        <v>1225</v>
      </c>
      <c r="E667" s="1" t="s">
        <v>9</v>
      </c>
      <c r="F667" s="1" t="s">
        <v>1226</v>
      </c>
      <c r="G667" s="1" t="s">
        <v>11</v>
      </c>
      <c r="H667" s="9">
        <f>_xlfn.XLOOKUP(Tabla3[[#This Row],[Nit]],Hoja2!A667:A2090,Hoja2!C667:C2090)</f>
        <v>1000000</v>
      </c>
      <c r="I667" s="1">
        <f>_xlfn.XLOOKUP(Tabla3[[#This Row],[Cliente]],'[1]Datos Contacto'!$A$2:$A$23,'[1]Datos Contacto'!$E$2:$E$23,0,0,1)</f>
        <v>0</v>
      </c>
    </row>
    <row r="668" spans="1:9" x14ac:dyDescent="0.25">
      <c r="A668" s="1">
        <v>577143</v>
      </c>
      <c r="B668" s="1" t="s">
        <v>683</v>
      </c>
      <c r="C668" s="1"/>
      <c r="D668" s="21" t="s">
        <v>1225</v>
      </c>
      <c r="E668" s="1" t="s">
        <v>9</v>
      </c>
      <c r="F668" s="1" t="s">
        <v>1226</v>
      </c>
      <c r="G668" s="1" t="s">
        <v>15</v>
      </c>
      <c r="H668" s="9">
        <f>_xlfn.XLOOKUP(Tabla3[[#This Row],[Nit]],Hoja2!A668:A2091,Hoja2!C668:C2091)</f>
        <v>1000000</v>
      </c>
      <c r="I668" s="1">
        <f>_xlfn.XLOOKUP(Tabla3[[#This Row],[Cliente]],'[1]Datos Contacto'!$A$2:$A$23,'[1]Datos Contacto'!$E$2:$E$23,0,0,1)</f>
        <v>0</v>
      </c>
    </row>
    <row r="669" spans="1:9" x14ac:dyDescent="0.25">
      <c r="A669" s="1">
        <v>163</v>
      </c>
      <c r="B669" s="1" t="s">
        <v>684</v>
      </c>
      <c r="C669" s="1"/>
      <c r="D669" s="21" t="s">
        <v>1225</v>
      </c>
      <c r="E669" s="1" t="s">
        <v>9</v>
      </c>
      <c r="F669" s="1" t="s">
        <v>1226</v>
      </c>
      <c r="G669" s="1" t="s">
        <v>15</v>
      </c>
      <c r="H669" s="9">
        <f>_xlfn.XLOOKUP(Tabla3[[#This Row],[Nit]],Hoja2!A669:A2092,Hoja2!C669:C2092)</f>
        <v>1000000</v>
      </c>
      <c r="I669" s="1">
        <f>_xlfn.XLOOKUP(Tabla3[[#This Row],[Cliente]],'[1]Datos Contacto'!$A$2:$A$23,'[1]Datos Contacto'!$E$2:$E$23,0,0,1)</f>
        <v>0</v>
      </c>
    </row>
    <row r="670" spans="1:9" x14ac:dyDescent="0.25">
      <c r="A670" s="1">
        <v>79468380</v>
      </c>
      <c r="B670" s="1" t="s">
        <v>685</v>
      </c>
      <c r="C670" s="1"/>
      <c r="D670" s="21" t="s">
        <v>1225</v>
      </c>
      <c r="E670" s="1" t="s">
        <v>9</v>
      </c>
      <c r="F670" s="1" t="s">
        <v>1226</v>
      </c>
      <c r="G670" s="1" t="s">
        <v>11</v>
      </c>
      <c r="H670" s="9">
        <f>_xlfn.XLOOKUP(Tabla3[[#This Row],[Nit]],Hoja2!A670:A2093,Hoja2!C670:C2093)</f>
        <v>1000000</v>
      </c>
      <c r="I670" s="1">
        <f>_xlfn.XLOOKUP(Tabla3[[#This Row],[Cliente]],'[1]Datos Contacto'!$A$2:$A$23,'[1]Datos Contacto'!$E$2:$E$23,0,0,1)</f>
        <v>0</v>
      </c>
    </row>
    <row r="671" spans="1:9" x14ac:dyDescent="0.25">
      <c r="A671" s="1">
        <v>227</v>
      </c>
      <c r="B671" s="1" t="s">
        <v>686</v>
      </c>
      <c r="C671" s="1"/>
      <c r="D671" s="21" t="s">
        <v>1225</v>
      </c>
      <c r="E671" s="1" t="s">
        <v>9</v>
      </c>
      <c r="F671" s="1" t="s">
        <v>1226</v>
      </c>
      <c r="G671" s="1" t="s">
        <v>11</v>
      </c>
      <c r="H671" s="9">
        <f>_xlfn.XLOOKUP(Tabla3[[#This Row],[Nit]],Hoja2!A671:A2094,Hoja2!C671:C2094)</f>
        <v>1000000</v>
      </c>
      <c r="I671" s="1">
        <f>_xlfn.XLOOKUP(Tabla3[[#This Row],[Cliente]],'[1]Datos Contacto'!$A$2:$A$23,'[1]Datos Contacto'!$E$2:$E$23,0,0,1)</f>
        <v>0</v>
      </c>
    </row>
    <row r="672" spans="1:9" x14ac:dyDescent="0.25">
      <c r="A672" s="1">
        <v>1070952978</v>
      </c>
      <c r="B672" s="1" t="s">
        <v>687</v>
      </c>
      <c r="C672" s="1"/>
      <c r="D672" s="21" t="s">
        <v>1225</v>
      </c>
      <c r="E672" s="1" t="s">
        <v>9</v>
      </c>
      <c r="F672" s="1" t="s">
        <v>1226</v>
      </c>
      <c r="G672" s="1" t="s">
        <v>11</v>
      </c>
      <c r="H672" s="9">
        <f>_xlfn.XLOOKUP(Tabla3[[#This Row],[Nit]],Hoja2!A672:A2095,Hoja2!C672:C2095)</f>
        <v>1000000</v>
      </c>
      <c r="I672" s="1">
        <f>_xlfn.XLOOKUP(Tabla3[[#This Row],[Cliente]],'[1]Datos Contacto'!$A$2:$A$23,'[1]Datos Contacto'!$E$2:$E$23,0,0,1)</f>
        <v>0</v>
      </c>
    </row>
    <row r="673" spans="1:9" x14ac:dyDescent="0.25">
      <c r="A673" s="1">
        <v>7228927</v>
      </c>
      <c r="B673" s="1" t="s">
        <v>688</v>
      </c>
      <c r="C673" s="1"/>
      <c r="D673" s="21" t="s">
        <v>1225</v>
      </c>
      <c r="E673" s="1" t="s">
        <v>9</v>
      </c>
      <c r="F673" s="1" t="s">
        <v>1226</v>
      </c>
      <c r="G673" s="1" t="s">
        <v>11</v>
      </c>
      <c r="H673" s="9">
        <f>_xlfn.XLOOKUP(Tabla3[[#This Row],[Nit]],Hoja2!A673:A2096,Hoja2!C673:C2096)</f>
        <v>1000000</v>
      </c>
      <c r="I673" s="1">
        <f>_xlfn.XLOOKUP(Tabla3[[#This Row],[Cliente]],'[1]Datos Contacto'!$A$2:$A$23,'[1]Datos Contacto'!$E$2:$E$23,0,0,1)</f>
        <v>0</v>
      </c>
    </row>
    <row r="674" spans="1:9" x14ac:dyDescent="0.25">
      <c r="A674" s="1">
        <v>153</v>
      </c>
      <c r="B674" s="1" t="s">
        <v>689</v>
      </c>
      <c r="C674" s="1"/>
      <c r="D674" s="21" t="s">
        <v>1225</v>
      </c>
      <c r="E674" s="1" t="s">
        <v>9</v>
      </c>
      <c r="F674" s="1" t="s">
        <v>1226</v>
      </c>
      <c r="G674" s="1" t="s">
        <v>11</v>
      </c>
      <c r="H674" s="9">
        <f>_xlfn.XLOOKUP(Tabla3[[#This Row],[Nit]],Hoja2!A674:A2097,Hoja2!C674:C2097)</f>
        <v>1000000</v>
      </c>
      <c r="I674" s="1">
        <f>_xlfn.XLOOKUP(Tabla3[[#This Row],[Cliente]],'[1]Datos Contacto'!$A$2:$A$23,'[1]Datos Contacto'!$E$2:$E$23,0,0,1)</f>
        <v>0</v>
      </c>
    </row>
    <row r="675" spans="1:9" x14ac:dyDescent="0.25">
      <c r="A675" s="1">
        <v>79183258</v>
      </c>
      <c r="B675" s="1" t="s">
        <v>690</v>
      </c>
      <c r="C675" s="1"/>
      <c r="D675" s="21" t="s">
        <v>1225</v>
      </c>
      <c r="E675" s="1" t="s">
        <v>9</v>
      </c>
      <c r="F675" s="1" t="s">
        <v>1226</v>
      </c>
      <c r="G675" s="1" t="s">
        <v>7</v>
      </c>
      <c r="H675" s="9">
        <f>_xlfn.XLOOKUP(Tabla3[[#This Row],[Nit]],Hoja2!A675:A2098,Hoja2!C675:C2098)</f>
        <v>1000000</v>
      </c>
      <c r="I675" s="1">
        <f>_xlfn.XLOOKUP(Tabla3[[#This Row],[Cliente]],'[1]Datos Contacto'!$A$2:$A$23,'[1]Datos Contacto'!$E$2:$E$23,0,0,1)</f>
        <v>0</v>
      </c>
    </row>
    <row r="676" spans="1:9" x14ac:dyDescent="0.25">
      <c r="A676" s="1">
        <v>475934</v>
      </c>
      <c r="B676" s="1" t="s">
        <v>691</v>
      </c>
      <c r="C676" s="1"/>
      <c r="D676" s="21" t="s">
        <v>1225</v>
      </c>
      <c r="E676" s="1" t="s">
        <v>9</v>
      </c>
      <c r="F676" s="1" t="s">
        <v>1226</v>
      </c>
      <c r="G676" s="1" t="s">
        <v>11</v>
      </c>
      <c r="H676" s="9">
        <f>_xlfn.XLOOKUP(Tabla3[[#This Row],[Nit]],Hoja2!A676:A2099,Hoja2!C676:C2099)</f>
        <v>1000000</v>
      </c>
      <c r="I676" s="1">
        <f>_xlfn.XLOOKUP(Tabla3[[#This Row],[Cliente]],'[1]Datos Contacto'!$A$2:$A$23,'[1]Datos Contacto'!$E$2:$E$23,0,0,1)</f>
        <v>0</v>
      </c>
    </row>
    <row r="677" spans="1:9" x14ac:dyDescent="0.25">
      <c r="A677" s="1">
        <v>40411028</v>
      </c>
      <c r="B677" s="1" t="s">
        <v>692</v>
      </c>
      <c r="C677" s="1"/>
      <c r="D677" s="21" t="s">
        <v>1225</v>
      </c>
      <c r="E677" s="1" t="s">
        <v>9</v>
      </c>
      <c r="F677" s="1" t="s">
        <v>1226</v>
      </c>
      <c r="G677" s="1" t="s">
        <v>11</v>
      </c>
      <c r="H677" s="9">
        <f>_xlfn.XLOOKUP(Tabla3[[#This Row],[Nit]],Hoja2!A677:A2100,Hoja2!C677:C2100)</f>
        <v>1000000</v>
      </c>
      <c r="I677" s="1">
        <f>_xlfn.XLOOKUP(Tabla3[[#This Row],[Cliente]],'[1]Datos Contacto'!$A$2:$A$23,'[1]Datos Contacto'!$E$2:$E$23,0,0,1)</f>
        <v>0</v>
      </c>
    </row>
    <row r="678" spans="1:9" x14ac:dyDescent="0.25">
      <c r="A678" s="1">
        <v>37671359</v>
      </c>
      <c r="B678" s="1" t="s">
        <v>693</v>
      </c>
      <c r="C678" s="1"/>
      <c r="D678" s="21" t="s">
        <v>1225</v>
      </c>
      <c r="E678" s="1" t="s">
        <v>9</v>
      </c>
      <c r="F678" s="1" t="s">
        <v>1226</v>
      </c>
      <c r="G678" s="1" t="s">
        <v>15</v>
      </c>
      <c r="H678" s="9">
        <f>_xlfn.XLOOKUP(Tabla3[[#This Row],[Nit]],Hoja2!A678:A2101,Hoja2!C678:C2101)</f>
        <v>1000000</v>
      </c>
      <c r="I678" s="1">
        <f>_xlfn.XLOOKUP(Tabla3[[#This Row],[Cliente]],'[1]Datos Contacto'!$A$2:$A$23,'[1]Datos Contacto'!$E$2:$E$23,0,0,1)</f>
        <v>0</v>
      </c>
    </row>
    <row r="679" spans="1:9" x14ac:dyDescent="0.25">
      <c r="A679" s="1">
        <v>52696870</v>
      </c>
      <c r="B679" s="1" t="s">
        <v>694</v>
      </c>
      <c r="C679" s="1"/>
      <c r="D679" s="21" t="s">
        <v>1225</v>
      </c>
      <c r="E679" s="1" t="s">
        <v>9</v>
      </c>
      <c r="F679" s="1" t="s">
        <v>1226</v>
      </c>
      <c r="G679" s="1" t="s">
        <v>11</v>
      </c>
      <c r="H679" s="9">
        <f>_xlfn.XLOOKUP(Tabla3[[#This Row],[Nit]],Hoja2!A679:A2102,Hoja2!C679:C2102)</f>
        <v>1000000</v>
      </c>
      <c r="I679" s="1">
        <f>_xlfn.XLOOKUP(Tabla3[[#This Row],[Cliente]],'[1]Datos Contacto'!$A$2:$A$23,'[1]Datos Contacto'!$E$2:$E$23,0,0,1)</f>
        <v>0</v>
      </c>
    </row>
    <row r="680" spans="1:9" x14ac:dyDescent="0.25">
      <c r="A680" s="1">
        <v>1026252944</v>
      </c>
      <c r="B680" s="1" t="s">
        <v>695</v>
      </c>
      <c r="C680" s="1"/>
      <c r="D680" s="21" t="s">
        <v>1225</v>
      </c>
      <c r="E680" s="1" t="s">
        <v>9</v>
      </c>
      <c r="F680" s="1" t="s">
        <v>1226</v>
      </c>
      <c r="G680" s="1" t="s">
        <v>11</v>
      </c>
      <c r="H680" s="9">
        <f>_xlfn.XLOOKUP(Tabla3[[#This Row],[Nit]],Hoja2!A680:A2103,Hoja2!C680:C2103)</f>
        <v>1000000</v>
      </c>
      <c r="I680" s="1">
        <f>_xlfn.XLOOKUP(Tabla3[[#This Row],[Cliente]],'[1]Datos Contacto'!$A$2:$A$23,'[1]Datos Contacto'!$E$2:$E$23,0,0,1)</f>
        <v>0</v>
      </c>
    </row>
    <row r="681" spans="1:9" x14ac:dyDescent="0.25">
      <c r="A681" s="1">
        <v>900554660</v>
      </c>
      <c r="B681" s="1" t="s">
        <v>696</v>
      </c>
      <c r="C681" s="1"/>
      <c r="D681" s="21" t="s">
        <v>1225</v>
      </c>
      <c r="E681" s="1" t="s">
        <v>9</v>
      </c>
      <c r="F681" s="1" t="s">
        <v>1226</v>
      </c>
      <c r="G681" s="1" t="s">
        <v>15</v>
      </c>
      <c r="H681" s="9">
        <f>_xlfn.XLOOKUP(Tabla3[[#This Row],[Nit]],Hoja2!A681:A2104,Hoja2!C681:C2104)</f>
        <v>1000000</v>
      </c>
      <c r="I681" s="1">
        <f>_xlfn.XLOOKUP(Tabla3[[#This Row],[Cliente]],'[1]Datos Contacto'!$A$2:$A$23,'[1]Datos Contacto'!$E$2:$E$23,0,0,1)</f>
        <v>0</v>
      </c>
    </row>
    <row r="682" spans="1:9" x14ac:dyDescent="0.25">
      <c r="A682" s="1">
        <v>1063152401</v>
      </c>
      <c r="B682" s="1" t="s">
        <v>697</v>
      </c>
      <c r="C682" s="1"/>
      <c r="D682" s="21" t="s">
        <v>1225</v>
      </c>
      <c r="E682" s="1" t="s">
        <v>9</v>
      </c>
      <c r="F682" s="1" t="s">
        <v>1226</v>
      </c>
      <c r="G682" s="1" t="s">
        <v>15</v>
      </c>
      <c r="H682" s="9">
        <f>_xlfn.XLOOKUP(Tabla3[[#This Row],[Nit]],Hoja2!A682:A2105,Hoja2!C682:C2105)</f>
        <v>1000000</v>
      </c>
      <c r="I682" s="1">
        <f>_xlfn.XLOOKUP(Tabla3[[#This Row],[Cliente]],'[1]Datos Contacto'!$A$2:$A$23,'[1]Datos Contacto'!$E$2:$E$23,0,0,1)</f>
        <v>0</v>
      </c>
    </row>
    <row r="683" spans="1:9" x14ac:dyDescent="0.25">
      <c r="A683" s="1">
        <v>379</v>
      </c>
      <c r="B683" s="1" t="s">
        <v>698</v>
      </c>
      <c r="C683" s="1"/>
      <c r="D683" s="21" t="s">
        <v>1225</v>
      </c>
      <c r="E683" s="1" t="s">
        <v>9</v>
      </c>
      <c r="F683" s="1" t="s">
        <v>1226</v>
      </c>
      <c r="G683" s="1" t="s">
        <v>11</v>
      </c>
      <c r="H683" s="9">
        <f>_xlfn.XLOOKUP(Tabla3[[#This Row],[Nit]],Hoja2!A683:A2106,Hoja2!C683:C2106)</f>
        <v>1000000</v>
      </c>
      <c r="I683" s="1">
        <f>_xlfn.XLOOKUP(Tabla3[[#This Row],[Cliente]],'[1]Datos Contacto'!$A$2:$A$23,'[1]Datos Contacto'!$E$2:$E$23,0,0,1)</f>
        <v>0</v>
      </c>
    </row>
    <row r="684" spans="1:9" x14ac:dyDescent="0.25">
      <c r="A684" s="1"/>
      <c r="B684" s="1" t="s">
        <v>699</v>
      </c>
      <c r="C684" s="1"/>
      <c r="D684" s="21" t="s">
        <v>1225</v>
      </c>
      <c r="E684" s="1" t="s">
        <v>9</v>
      </c>
      <c r="F684" s="1" t="s">
        <v>1226</v>
      </c>
      <c r="G684" s="1" t="s">
        <v>11</v>
      </c>
      <c r="H684" s="9">
        <f>_xlfn.XLOOKUP(Tabla3[[#This Row],[Nit]],Hoja2!A684:A2107,Hoja2!C684:C2107)</f>
        <v>0</v>
      </c>
      <c r="I684" s="1">
        <f>_xlfn.XLOOKUP(Tabla3[[#This Row],[Cliente]],'[1]Datos Contacto'!$A$2:$A$23,'[1]Datos Contacto'!$E$2:$E$23,0,0,1)</f>
        <v>0</v>
      </c>
    </row>
    <row r="685" spans="1:9" x14ac:dyDescent="0.25">
      <c r="A685" s="1">
        <v>901100074</v>
      </c>
      <c r="B685" s="1" t="s">
        <v>700</v>
      </c>
      <c r="C685" s="1"/>
      <c r="D685" s="21" t="s">
        <v>1225</v>
      </c>
      <c r="E685" s="1" t="s">
        <v>9</v>
      </c>
      <c r="F685" s="1" t="s">
        <v>1226</v>
      </c>
      <c r="G685" s="1" t="s">
        <v>7</v>
      </c>
      <c r="H685" s="9">
        <f>_xlfn.XLOOKUP(Tabla3[[#This Row],[Nit]],Hoja2!A685:A2108,Hoja2!C685:C2108)</f>
        <v>10000000</v>
      </c>
      <c r="I685" s="1">
        <f>_xlfn.XLOOKUP(Tabla3[[#This Row],[Cliente]],'[1]Datos Contacto'!$A$2:$A$23,'[1]Datos Contacto'!$E$2:$E$23,0,0,1)</f>
        <v>0</v>
      </c>
    </row>
    <row r="686" spans="1:9" x14ac:dyDescent="0.25">
      <c r="A686" s="1">
        <v>900327148</v>
      </c>
      <c r="B686" s="1" t="s">
        <v>701</v>
      </c>
      <c r="C686" s="1"/>
      <c r="D686" s="21" t="s">
        <v>1225</v>
      </c>
      <c r="E686" s="1" t="s">
        <v>9</v>
      </c>
      <c r="F686" s="1" t="s">
        <v>1226</v>
      </c>
      <c r="G686" s="1" t="s">
        <v>7</v>
      </c>
      <c r="H686" s="9">
        <f>_xlfn.XLOOKUP(Tabla3[[#This Row],[Nit]],Hoja2!A686:A2109,Hoja2!C686:C2109)</f>
        <v>1000000</v>
      </c>
      <c r="I686" s="1">
        <f>_xlfn.XLOOKUP(Tabla3[[#This Row],[Cliente]],'[1]Datos Contacto'!$A$2:$A$23,'[1]Datos Contacto'!$E$2:$E$23,0,0,1)</f>
        <v>0</v>
      </c>
    </row>
    <row r="687" spans="1:9" x14ac:dyDescent="0.25">
      <c r="A687" s="1">
        <v>900172069</v>
      </c>
      <c r="B687" s="1" t="s">
        <v>702</v>
      </c>
      <c r="C687" s="1"/>
      <c r="D687" s="21" t="s">
        <v>1225</v>
      </c>
      <c r="E687" s="1" t="s">
        <v>79</v>
      </c>
      <c r="F687" s="1" t="s">
        <v>1226</v>
      </c>
      <c r="G687" s="1" t="s">
        <v>7</v>
      </c>
      <c r="H687" s="9">
        <f>_xlfn.XLOOKUP(Tabla3[[#This Row],[Nit]],Hoja2!A687:A2110,Hoja2!C687:C2110)</f>
        <v>10000000</v>
      </c>
      <c r="I687" s="1">
        <f>_xlfn.XLOOKUP(Tabla3[[#This Row],[Cliente]],'[1]Datos Contacto'!$A$2:$A$23,'[1]Datos Contacto'!$E$2:$E$23,0,0,1)</f>
        <v>0</v>
      </c>
    </row>
    <row r="688" spans="1:9" x14ac:dyDescent="0.25">
      <c r="A688" s="1">
        <v>419</v>
      </c>
      <c r="B688" s="1" t="s">
        <v>703</v>
      </c>
      <c r="C688" s="1"/>
      <c r="D688" s="21" t="s">
        <v>1225</v>
      </c>
      <c r="E688" s="1" t="s">
        <v>9</v>
      </c>
      <c r="F688" s="1" t="s">
        <v>1226</v>
      </c>
      <c r="G688" s="1" t="s">
        <v>11</v>
      </c>
      <c r="H688" s="9">
        <f>_xlfn.XLOOKUP(Tabla3[[#This Row],[Nit]],Hoja2!A688:A2111,Hoja2!C688:C2111)</f>
        <v>1000000</v>
      </c>
      <c r="I688" s="1">
        <f>_xlfn.XLOOKUP(Tabla3[[#This Row],[Cliente]],'[1]Datos Contacto'!$A$2:$A$23,'[1]Datos Contacto'!$E$2:$E$23,0,0,1)</f>
        <v>0</v>
      </c>
    </row>
    <row r="689" spans="1:9" x14ac:dyDescent="0.25">
      <c r="A689" s="1">
        <v>1070325571</v>
      </c>
      <c r="B689" s="1" t="s">
        <v>704</v>
      </c>
      <c r="C689" s="1"/>
      <c r="D689" s="21" t="s">
        <v>1225</v>
      </c>
      <c r="E689" s="1" t="s">
        <v>9</v>
      </c>
      <c r="F689" s="1" t="s">
        <v>1226</v>
      </c>
      <c r="G689" s="1" t="s">
        <v>7</v>
      </c>
      <c r="H689" s="9">
        <f>_xlfn.XLOOKUP(Tabla3[[#This Row],[Nit]],Hoja2!A689:A2112,Hoja2!C689:C2112)</f>
        <v>1000000</v>
      </c>
      <c r="I689" s="1">
        <f>_xlfn.XLOOKUP(Tabla3[[#This Row],[Cliente]],'[1]Datos Contacto'!$A$2:$A$23,'[1]Datos Contacto'!$E$2:$E$23,0,0,1)</f>
        <v>0</v>
      </c>
    </row>
    <row r="690" spans="1:9" x14ac:dyDescent="0.25">
      <c r="A690" s="1">
        <v>53041717</v>
      </c>
      <c r="B690" s="1" t="s">
        <v>705</v>
      </c>
      <c r="C690" s="1"/>
      <c r="D690" s="21" t="s">
        <v>1225</v>
      </c>
      <c r="E690" s="1" t="s">
        <v>9</v>
      </c>
      <c r="F690" s="1" t="s">
        <v>1226</v>
      </c>
      <c r="G690" s="1" t="s">
        <v>20</v>
      </c>
      <c r="H690" s="9">
        <f>_xlfn.XLOOKUP(Tabla3[[#This Row],[Nit]],Hoja2!A690:A2113,Hoja2!C690:C2113)</f>
        <v>1000000</v>
      </c>
      <c r="I690" s="1">
        <f>_xlfn.XLOOKUP(Tabla3[[#This Row],[Cliente]],'[1]Datos Contacto'!$A$2:$A$23,'[1]Datos Contacto'!$E$2:$E$23,0,0,1)</f>
        <v>0</v>
      </c>
    </row>
    <row r="691" spans="1:9" x14ac:dyDescent="0.25">
      <c r="A691" s="1">
        <v>901435824</v>
      </c>
      <c r="B691" s="1" t="s">
        <v>706</v>
      </c>
      <c r="C691" s="1"/>
      <c r="D691" s="21" t="s">
        <v>1225</v>
      </c>
      <c r="E691" s="1" t="s">
        <v>9</v>
      </c>
      <c r="F691" s="1" t="s">
        <v>1226</v>
      </c>
      <c r="G691" s="1" t="s">
        <v>7</v>
      </c>
      <c r="H691" s="9">
        <f>_xlfn.XLOOKUP(Tabla3[[#This Row],[Nit]],Hoja2!A691:A2114,Hoja2!C691:C2114)</f>
        <v>10000000</v>
      </c>
      <c r="I691" s="1">
        <f>_xlfn.XLOOKUP(Tabla3[[#This Row],[Cliente]],'[1]Datos Contacto'!$A$2:$A$23,'[1]Datos Contacto'!$E$2:$E$23,0,0,1)</f>
        <v>0</v>
      </c>
    </row>
    <row r="692" spans="1:9" x14ac:dyDescent="0.25">
      <c r="A692" s="1">
        <v>120801761</v>
      </c>
      <c r="B692" s="1" t="s">
        <v>707</v>
      </c>
      <c r="C692" s="1"/>
      <c r="D692" s="21" t="s">
        <v>1225</v>
      </c>
      <c r="E692" s="1" t="s">
        <v>9</v>
      </c>
      <c r="F692" s="1" t="s">
        <v>1226</v>
      </c>
      <c r="G692" s="1" t="s">
        <v>15</v>
      </c>
      <c r="H692" s="9">
        <f>_xlfn.XLOOKUP(Tabla3[[#This Row],[Nit]],Hoja2!A692:A2115,Hoja2!C692:C2115)</f>
        <v>1000000</v>
      </c>
      <c r="I692" s="1">
        <f>_xlfn.XLOOKUP(Tabla3[[#This Row],[Cliente]],'[1]Datos Contacto'!$A$2:$A$23,'[1]Datos Contacto'!$E$2:$E$23,0,0,1)</f>
        <v>0</v>
      </c>
    </row>
    <row r="693" spans="1:9" x14ac:dyDescent="0.25">
      <c r="A693" s="1">
        <v>1020801761</v>
      </c>
      <c r="B693" s="1" t="s">
        <v>708</v>
      </c>
      <c r="C693" s="1"/>
      <c r="D693" s="21" t="s">
        <v>1225</v>
      </c>
      <c r="E693" s="1" t="s">
        <v>9</v>
      </c>
      <c r="F693" s="1" t="s">
        <v>1226</v>
      </c>
      <c r="G693" s="1" t="s">
        <v>7</v>
      </c>
      <c r="H693" s="9">
        <f>_xlfn.XLOOKUP(Tabla3[[#This Row],[Nit]],Hoja2!A693:A2116,Hoja2!C693:C2116)</f>
        <v>8000000</v>
      </c>
      <c r="I693" s="1">
        <f>_xlfn.XLOOKUP(Tabla3[[#This Row],[Cliente]],'[1]Datos Contacto'!$A$2:$A$23,'[1]Datos Contacto'!$E$2:$E$23,0,0,1)</f>
        <v>0</v>
      </c>
    </row>
    <row r="694" spans="1:9" x14ac:dyDescent="0.25">
      <c r="A694" s="1">
        <v>1016090875</v>
      </c>
      <c r="B694" s="1" t="s">
        <v>709</v>
      </c>
      <c r="C694" s="1"/>
      <c r="D694" s="21" t="s">
        <v>1225</v>
      </c>
      <c r="E694" s="1" t="s">
        <v>9</v>
      </c>
      <c r="F694" s="1" t="s">
        <v>1226</v>
      </c>
      <c r="G694" s="1" t="s">
        <v>20</v>
      </c>
      <c r="H694" s="9">
        <f>_xlfn.XLOOKUP(Tabla3[[#This Row],[Nit]],Hoja2!A694:A2117,Hoja2!C694:C2117)</f>
        <v>1000000</v>
      </c>
      <c r="I694" s="1">
        <f>_xlfn.XLOOKUP(Tabla3[[#This Row],[Cliente]],'[1]Datos Contacto'!$A$2:$A$23,'[1]Datos Contacto'!$E$2:$E$23,0,0,1)</f>
        <v>0</v>
      </c>
    </row>
    <row r="695" spans="1:9" x14ac:dyDescent="0.25">
      <c r="A695" s="1">
        <v>830133449</v>
      </c>
      <c r="B695" s="1" t="s">
        <v>710</v>
      </c>
      <c r="C695" s="1"/>
      <c r="D695" s="21" t="s">
        <v>1225</v>
      </c>
      <c r="E695" s="1" t="s">
        <v>9</v>
      </c>
      <c r="F695" s="1" t="s">
        <v>1226</v>
      </c>
      <c r="G695" s="1" t="s">
        <v>15</v>
      </c>
      <c r="H695" s="9">
        <f>_xlfn.XLOOKUP(Tabla3[[#This Row],[Nit]],Hoja2!A695:A2118,Hoja2!C695:C2118)</f>
        <v>1000000</v>
      </c>
      <c r="I695" s="1">
        <f>_xlfn.XLOOKUP(Tabla3[[#This Row],[Cliente]],'[1]Datos Contacto'!$A$2:$A$23,'[1]Datos Contacto'!$E$2:$E$23,0,0,1)</f>
        <v>0</v>
      </c>
    </row>
    <row r="696" spans="1:9" x14ac:dyDescent="0.25">
      <c r="A696" s="1">
        <v>150</v>
      </c>
      <c r="B696" s="1" t="s">
        <v>711</v>
      </c>
      <c r="C696" s="1"/>
      <c r="D696" s="21" t="s">
        <v>1225</v>
      </c>
      <c r="E696" s="1" t="s">
        <v>9</v>
      </c>
      <c r="F696" s="1" t="s">
        <v>1226</v>
      </c>
      <c r="G696" s="1" t="s">
        <v>11</v>
      </c>
      <c r="H696" s="9">
        <f>_xlfn.XLOOKUP(Tabla3[[#This Row],[Nit]],Hoja2!A696:A2119,Hoja2!C696:C2119)</f>
        <v>1000000</v>
      </c>
      <c r="I696" s="1">
        <f>_xlfn.XLOOKUP(Tabla3[[#This Row],[Cliente]],'[1]Datos Contacto'!$A$2:$A$23,'[1]Datos Contacto'!$E$2:$E$23,0,0,1)</f>
        <v>0</v>
      </c>
    </row>
    <row r="697" spans="1:9" x14ac:dyDescent="0.25">
      <c r="A697" s="1">
        <v>86088872</v>
      </c>
      <c r="B697" s="1" t="s">
        <v>712</v>
      </c>
      <c r="C697" s="1"/>
      <c r="D697" s="21" t="s">
        <v>1225</v>
      </c>
      <c r="E697" s="1" t="s">
        <v>9</v>
      </c>
      <c r="F697" s="1" t="s">
        <v>1226</v>
      </c>
      <c r="G697" s="1" t="s">
        <v>11</v>
      </c>
      <c r="H697" s="9">
        <f>_xlfn.XLOOKUP(Tabla3[[#This Row],[Nit]],Hoja2!A697:A2120,Hoja2!C697:C2120)</f>
        <v>1000000</v>
      </c>
      <c r="I697" s="1">
        <f>_xlfn.XLOOKUP(Tabla3[[#This Row],[Cliente]],'[1]Datos Contacto'!$A$2:$A$23,'[1]Datos Contacto'!$E$2:$E$23,0,0,1)</f>
        <v>0</v>
      </c>
    </row>
    <row r="698" spans="1:9" x14ac:dyDescent="0.25">
      <c r="A698" s="1">
        <v>800079603</v>
      </c>
      <c r="B698" s="1" t="s">
        <v>713</v>
      </c>
      <c r="C698" s="1"/>
      <c r="D698" s="21" t="s">
        <v>1225</v>
      </c>
      <c r="E698" s="1" t="s">
        <v>9</v>
      </c>
      <c r="F698" s="1" t="s">
        <v>1226</v>
      </c>
      <c r="G698" s="1" t="s">
        <v>36</v>
      </c>
      <c r="H698" s="9">
        <f>_xlfn.XLOOKUP(Tabla3[[#This Row],[Nit]],Hoja2!A698:A2121,Hoja2!C698:C2121)</f>
        <v>30000000</v>
      </c>
      <c r="I698" s="1">
        <f>_xlfn.XLOOKUP(Tabla3[[#This Row],[Cliente]],'[1]Datos Contacto'!$A$2:$A$23,'[1]Datos Contacto'!$E$2:$E$23,0,0,1)</f>
        <v>0</v>
      </c>
    </row>
    <row r="699" spans="1:9" x14ac:dyDescent="0.25">
      <c r="A699" s="1">
        <v>900119324</v>
      </c>
      <c r="B699" s="1" t="s">
        <v>714</v>
      </c>
      <c r="C699" s="1"/>
      <c r="D699" s="21" t="s">
        <v>1225</v>
      </c>
      <c r="E699" s="1" t="s">
        <v>9</v>
      </c>
      <c r="F699" s="1" t="s">
        <v>1226</v>
      </c>
      <c r="G699" s="1" t="s">
        <v>11</v>
      </c>
      <c r="H699" s="9">
        <f>_xlfn.XLOOKUP(Tabla3[[#This Row],[Nit]],Hoja2!A699:A2122,Hoja2!C699:C2122)</f>
        <v>1000000</v>
      </c>
      <c r="I699" s="1">
        <f>_xlfn.XLOOKUP(Tabla3[[#This Row],[Cliente]],'[1]Datos Contacto'!$A$2:$A$23,'[1]Datos Contacto'!$E$2:$E$23,0,0,1)</f>
        <v>0</v>
      </c>
    </row>
    <row r="700" spans="1:9" x14ac:dyDescent="0.25">
      <c r="A700" s="1">
        <v>1020797937</v>
      </c>
      <c r="B700" s="1" t="s">
        <v>715</v>
      </c>
      <c r="C700" s="1"/>
      <c r="D700" s="21" t="s">
        <v>1225</v>
      </c>
      <c r="E700" s="1" t="s">
        <v>9</v>
      </c>
      <c r="F700" s="1" t="s">
        <v>1226</v>
      </c>
      <c r="G700" s="1" t="s">
        <v>11</v>
      </c>
      <c r="H700" s="9">
        <f>_xlfn.XLOOKUP(Tabla3[[#This Row],[Nit]],Hoja2!A700:A2123,Hoja2!C700:C2123)</f>
        <v>1000000</v>
      </c>
      <c r="I700" s="1">
        <f>_xlfn.XLOOKUP(Tabla3[[#This Row],[Cliente]],'[1]Datos Contacto'!$A$2:$A$23,'[1]Datos Contacto'!$E$2:$E$23,0,0,1)</f>
        <v>0</v>
      </c>
    </row>
    <row r="701" spans="1:9" x14ac:dyDescent="0.25">
      <c r="A701" s="1">
        <v>381</v>
      </c>
      <c r="B701" s="1" t="s">
        <v>716</v>
      </c>
      <c r="C701" s="1"/>
      <c r="D701" s="21" t="s">
        <v>1225</v>
      </c>
      <c r="E701" s="1" t="s">
        <v>9</v>
      </c>
      <c r="F701" s="1" t="s">
        <v>1226</v>
      </c>
      <c r="G701" s="1" t="s">
        <v>15</v>
      </c>
      <c r="H701" s="9">
        <f>_xlfn.XLOOKUP(Tabla3[[#This Row],[Nit]],Hoja2!A701:A2124,Hoja2!C701:C2124)</f>
        <v>1000000</v>
      </c>
      <c r="I701" s="1">
        <f>_xlfn.XLOOKUP(Tabla3[[#This Row],[Cliente]],'[1]Datos Contacto'!$A$2:$A$23,'[1]Datos Contacto'!$E$2:$E$23,0,0,1)</f>
        <v>0</v>
      </c>
    </row>
    <row r="702" spans="1:9" x14ac:dyDescent="0.25">
      <c r="A702" s="1">
        <v>830057750</v>
      </c>
      <c r="B702" s="1" t="s">
        <v>717</v>
      </c>
      <c r="C702" s="1"/>
      <c r="D702" s="21" t="s">
        <v>1225</v>
      </c>
      <c r="E702" s="1" t="s">
        <v>6</v>
      </c>
      <c r="F702" s="1" t="s">
        <v>1226</v>
      </c>
      <c r="G702" s="1" t="s">
        <v>7</v>
      </c>
      <c r="H702" s="9">
        <f>_xlfn.XLOOKUP(Tabla3[[#This Row],[Nit]],Hoja2!A702:A2125,Hoja2!C702:C2125)</f>
        <v>40000000</v>
      </c>
      <c r="I702" s="1" t="str">
        <f>_xlfn.XLOOKUP(Tabla3[[#This Row],[Cliente]],'[1]Datos Contacto'!$A$2:$A$23,'[1]Datos Contacto'!$E$2:$E$23,0,0,1)</f>
        <v>facturacion@topgourmet.net</v>
      </c>
    </row>
    <row r="703" spans="1:9" x14ac:dyDescent="0.25">
      <c r="A703" s="1">
        <v>900055374</v>
      </c>
      <c r="B703" s="1" t="s">
        <v>718</v>
      </c>
      <c r="C703" s="1"/>
      <c r="D703" s="21" t="s">
        <v>1225</v>
      </c>
      <c r="E703" s="1" t="s">
        <v>6</v>
      </c>
      <c r="F703" s="1" t="s">
        <v>1226</v>
      </c>
      <c r="G703" s="1" t="s">
        <v>7</v>
      </c>
      <c r="H703" s="9">
        <f>_xlfn.XLOOKUP(Tabla3[[#This Row],[Nit]],Hoja2!A703:A2126,Hoja2!C703:C2126)</f>
        <v>50000000</v>
      </c>
      <c r="I703" s="1" t="str">
        <f>_xlfn.XLOOKUP(Tabla3[[#This Row],[Cliente]],'[1]Datos Contacto'!$A$2:$A$23,'[1]Datos Contacto'!$E$2:$E$23,0,0,1)</f>
        <v>factura.foodgroup@takami.co</v>
      </c>
    </row>
    <row r="704" spans="1:9" x14ac:dyDescent="0.25">
      <c r="A704" s="1">
        <v>32907046</v>
      </c>
      <c r="B704" s="1" t="s">
        <v>719</v>
      </c>
      <c r="C704" s="1"/>
      <c r="D704" s="21" t="s">
        <v>1225</v>
      </c>
      <c r="E704" s="1" t="s">
        <v>9</v>
      </c>
      <c r="F704" s="1" t="s">
        <v>1226</v>
      </c>
      <c r="G704" s="1" t="s">
        <v>11</v>
      </c>
      <c r="H704" s="9">
        <f>_xlfn.XLOOKUP(Tabla3[[#This Row],[Nit]],Hoja2!A704:A2127,Hoja2!C704:C2127)</f>
        <v>1000000</v>
      </c>
      <c r="I704" s="1">
        <f>_xlfn.XLOOKUP(Tabla3[[#This Row],[Cliente]],'[1]Datos Contacto'!$A$2:$A$23,'[1]Datos Contacto'!$E$2:$E$23,0,0,1)</f>
        <v>0</v>
      </c>
    </row>
    <row r="705" spans="1:9" x14ac:dyDescent="0.25">
      <c r="A705" s="1">
        <v>901347546</v>
      </c>
      <c r="B705" s="1" t="s">
        <v>720</v>
      </c>
      <c r="C705" s="1"/>
      <c r="D705" s="21" t="s">
        <v>1225</v>
      </c>
      <c r="E705" s="1" t="s">
        <v>6</v>
      </c>
      <c r="F705" s="1" t="s">
        <v>1226</v>
      </c>
      <c r="G705" s="1" t="s">
        <v>7</v>
      </c>
      <c r="H705" s="9">
        <f>_xlfn.XLOOKUP(Tabla3[[#This Row],[Nit]],Hoja2!A705:A2128,Hoja2!C705:C2128)</f>
        <v>10000000</v>
      </c>
      <c r="I705" s="1">
        <f>_xlfn.XLOOKUP(Tabla3[[#This Row],[Cliente]],'[1]Datos Contacto'!$A$2:$A$23,'[1]Datos Contacto'!$E$2:$E$23,0,0,1)</f>
        <v>0</v>
      </c>
    </row>
    <row r="706" spans="1:9" x14ac:dyDescent="0.25">
      <c r="A706" s="1">
        <v>901353439</v>
      </c>
      <c r="B706" s="1" t="s">
        <v>721</v>
      </c>
      <c r="C706" s="1"/>
      <c r="D706" s="21" t="s">
        <v>1225</v>
      </c>
      <c r="E706" s="1" t="s">
        <v>9</v>
      </c>
      <c r="F706" s="1" t="s">
        <v>1226</v>
      </c>
      <c r="G706" s="1" t="s">
        <v>11</v>
      </c>
      <c r="H706" s="9">
        <f>_xlfn.XLOOKUP(Tabla3[[#This Row],[Nit]],Hoja2!A706:A2129,Hoja2!C706:C2129)</f>
        <v>1000000</v>
      </c>
      <c r="I706" s="1">
        <f>_xlfn.XLOOKUP(Tabla3[[#This Row],[Cliente]],'[1]Datos Contacto'!$A$2:$A$23,'[1]Datos Contacto'!$E$2:$E$23,0,0,1)</f>
        <v>0</v>
      </c>
    </row>
    <row r="707" spans="1:9" x14ac:dyDescent="0.25">
      <c r="A707" s="1">
        <v>901718424</v>
      </c>
      <c r="B707" s="1" t="s">
        <v>722</v>
      </c>
      <c r="C707" s="1"/>
      <c r="D707" s="21" t="s">
        <v>1225</v>
      </c>
      <c r="E707" s="1" t="s">
        <v>9</v>
      </c>
      <c r="F707" s="1" t="s">
        <v>1226</v>
      </c>
      <c r="G707" s="1" t="s">
        <v>7</v>
      </c>
      <c r="H707" s="9">
        <f>_xlfn.XLOOKUP(Tabla3[[#This Row],[Nit]],Hoja2!A707:A2130,Hoja2!C707:C2130)</f>
        <v>1000000</v>
      </c>
      <c r="I707" s="1">
        <f>_xlfn.XLOOKUP(Tabla3[[#This Row],[Cliente]],'[1]Datos Contacto'!$A$2:$A$23,'[1]Datos Contacto'!$E$2:$E$23,0,0,1)</f>
        <v>0</v>
      </c>
    </row>
    <row r="708" spans="1:9" x14ac:dyDescent="0.25">
      <c r="A708" s="1">
        <v>900380666</v>
      </c>
      <c r="B708" s="1" t="s">
        <v>723</v>
      </c>
      <c r="C708" s="1"/>
      <c r="D708" s="21" t="s">
        <v>1225</v>
      </c>
      <c r="E708" s="1" t="s">
        <v>9</v>
      </c>
      <c r="F708" s="1" t="s">
        <v>1226</v>
      </c>
      <c r="G708" s="1" t="s">
        <v>15</v>
      </c>
      <c r="H708" s="9">
        <f>_xlfn.XLOOKUP(Tabla3[[#This Row],[Nit]],Hoja2!A708:A2131,Hoja2!C708:C2131)</f>
        <v>1000000</v>
      </c>
      <c r="I708" s="1">
        <f>_xlfn.XLOOKUP(Tabla3[[#This Row],[Cliente]],'[1]Datos Contacto'!$A$2:$A$23,'[1]Datos Contacto'!$E$2:$E$23,0,0,1)</f>
        <v>0</v>
      </c>
    </row>
    <row r="709" spans="1:9" x14ac:dyDescent="0.25">
      <c r="A709" s="1">
        <v>41459967</v>
      </c>
      <c r="B709" s="1" t="s">
        <v>724</v>
      </c>
      <c r="C709" s="1"/>
      <c r="D709" s="21" t="s">
        <v>1225</v>
      </c>
      <c r="E709" s="1" t="s">
        <v>9</v>
      </c>
      <c r="F709" s="1" t="s">
        <v>1226</v>
      </c>
      <c r="G709" s="1" t="s">
        <v>48</v>
      </c>
      <c r="H709" s="9">
        <f>_xlfn.XLOOKUP(Tabla3[[#This Row],[Nit]],Hoja2!A709:A2132,Hoja2!C709:C2132)</f>
        <v>1000000</v>
      </c>
      <c r="I709" s="1">
        <f>_xlfn.XLOOKUP(Tabla3[[#This Row],[Cliente]],'[1]Datos Contacto'!$A$2:$A$23,'[1]Datos Contacto'!$E$2:$E$23,0,0,1)</f>
        <v>0</v>
      </c>
    </row>
    <row r="710" spans="1:9" x14ac:dyDescent="0.25">
      <c r="A710" s="1">
        <v>901466394</v>
      </c>
      <c r="B710" s="1" t="s">
        <v>725</v>
      </c>
      <c r="C710" s="1"/>
      <c r="D710" s="21" t="s">
        <v>1225</v>
      </c>
      <c r="E710" s="1" t="s">
        <v>9</v>
      </c>
      <c r="F710" s="1" t="s">
        <v>1226</v>
      </c>
      <c r="G710" s="1" t="s">
        <v>11</v>
      </c>
      <c r="H710" s="9">
        <f>_xlfn.XLOOKUP(Tabla3[[#This Row],[Nit]],Hoja2!A710:A2133,Hoja2!C710:C2133)</f>
        <v>10000000</v>
      </c>
      <c r="I710" s="1">
        <f>_xlfn.XLOOKUP(Tabla3[[#This Row],[Cliente]],'[1]Datos Contacto'!$A$2:$A$23,'[1]Datos Contacto'!$E$2:$E$23,0,0,1)</f>
        <v>0</v>
      </c>
    </row>
    <row r="711" spans="1:9" x14ac:dyDescent="0.25">
      <c r="A711" s="1">
        <v>41659906</v>
      </c>
      <c r="B711" s="1" t="s">
        <v>726</v>
      </c>
      <c r="C711" s="1"/>
      <c r="D711" s="21" t="s">
        <v>1225</v>
      </c>
      <c r="E711" s="1" t="s">
        <v>6</v>
      </c>
      <c r="F711" s="1" t="s">
        <v>1226</v>
      </c>
      <c r="G711" s="1" t="s">
        <v>11</v>
      </c>
      <c r="H711" s="9">
        <f>_xlfn.XLOOKUP(Tabla3[[#This Row],[Nit]],Hoja2!A711:A2134,Hoja2!C711:C2134)</f>
        <v>1000000</v>
      </c>
      <c r="I711" s="1">
        <f>_xlfn.XLOOKUP(Tabla3[[#This Row],[Cliente]],'[1]Datos Contacto'!$A$2:$A$23,'[1]Datos Contacto'!$E$2:$E$23,0,0,1)</f>
        <v>0</v>
      </c>
    </row>
    <row r="712" spans="1:9" x14ac:dyDescent="0.25">
      <c r="A712" s="1">
        <v>172</v>
      </c>
      <c r="B712" s="1" t="s">
        <v>727</v>
      </c>
      <c r="C712" s="1"/>
      <c r="D712" s="21" t="s">
        <v>1225</v>
      </c>
      <c r="E712" s="1" t="s">
        <v>9</v>
      </c>
      <c r="F712" s="1" t="s">
        <v>1226</v>
      </c>
      <c r="G712" s="1" t="s">
        <v>11</v>
      </c>
      <c r="H712" s="9">
        <f>_xlfn.XLOOKUP(Tabla3[[#This Row],[Nit]],Hoja2!A712:A2135,Hoja2!C712:C2135)</f>
        <v>1000000</v>
      </c>
      <c r="I712" s="1">
        <f>_xlfn.XLOOKUP(Tabla3[[#This Row],[Cliente]],'[1]Datos Contacto'!$A$2:$A$23,'[1]Datos Contacto'!$E$2:$E$23,0,0,1)</f>
        <v>0</v>
      </c>
    </row>
    <row r="713" spans="1:9" x14ac:dyDescent="0.25">
      <c r="A713" s="1">
        <v>12345</v>
      </c>
      <c r="B713" s="1" t="s">
        <v>728</v>
      </c>
      <c r="C713" s="1"/>
      <c r="D713" s="21" t="s">
        <v>1225</v>
      </c>
      <c r="E713" s="1" t="s">
        <v>9</v>
      </c>
      <c r="F713" s="1" t="s">
        <v>1226</v>
      </c>
      <c r="G713" s="1" t="s">
        <v>7</v>
      </c>
      <c r="H713" s="9">
        <f>_xlfn.XLOOKUP(Tabla3[[#This Row],[Nit]],Hoja2!A713:A2136,Hoja2!C713:C2136)</f>
        <v>1000000</v>
      </c>
      <c r="I713" s="1">
        <f>_xlfn.XLOOKUP(Tabla3[[#This Row],[Cliente]],'[1]Datos Contacto'!$A$2:$A$23,'[1]Datos Contacto'!$E$2:$E$23,0,0,1)</f>
        <v>0</v>
      </c>
    </row>
    <row r="714" spans="1:9" x14ac:dyDescent="0.25">
      <c r="A714" s="1">
        <v>392</v>
      </c>
      <c r="B714" s="1" t="s">
        <v>729</v>
      </c>
      <c r="C714" s="1"/>
      <c r="D714" s="21" t="s">
        <v>1225</v>
      </c>
      <c r="E714" s="1" t="s">
        <v>9</v>
      </c>
      <c r="F714" s="1" t="s">
        <v>1226</v>
      </c>
      <c r="G714" s="1" t="s">
        <v>20</v>
      </c>
      <c r="H714" s="9">
        <f>_xlfn.XLOOKUP(Tabla3[[#This Row],[Nit]],Hoja2!A714:A2137,Hoja2!C714:C2137)</f>
        <v>1000000</v>
      </c>
      <c r="I714" s="1">
        <f>_xlfn.XLOOKUP(Tabla3[[#This Row],[Cliente]],'[1]Datos Contacto'!$A$2:$A$23,'[1]Datos Contacto'!$E$2:$E$23,0,0,1)</f>
        <v>0</v>
      </c>
    </row>
    <row r="715" spans="1:9" x14ac:dyDescent="0.25">
      <c r="A715" s="1">
        <v>901314217</v>
      </c>
      <c r="B715" s="1" t="s">
        <v>730</v>
      </c>
      <c r="C715" s="1"/>
      <c r="D715" s="21" t="s">
        <v>1225</v>
      </c>
      <c r="E715" s="1" t="s">
        <v>9</v>
      </c>
      <c r="F715" s="1" t="s">
        <v>1226</v>
      </c>
      <c r="G715" s="1" t="s">
        <v>11</v>
      </c>
      <c r="H715" s="9">
        <f>_xlfn.XLOOKUP(Tabla3[[#This Row],[Nit]],Hoja2!A715:A2138,Hoja2!C715:C2138)</f>
        <v>1000000</v>
      </c>
      <c r="I715" s="1">
        <f>_xlfn.XLOOKUP(Tabla3[[#This Row],[Cliente]],'[1]Datos Contacto'!$A$2:$A$23,'[1]Datos Contacto'!$E$2:$E$23,0,0,1)</f>
        <v>0</v>
      </c>
    </row>
    <row r="716" spans="1:9" x14ac:dyDescent="0.25">
      <c r="A716" s="1">
        <v>830508860</v>
      </c>
      <c r="B716" s="1" t="s">
        <v>731</v>
      </c>
      <c r="C716" s="1"/>
      <c r="D716" s="21" t="s">
        <v>1225</v>
      </c>
      <c r="E716" s="1" t="s">
        <v>6</v>
      </c>
      <c r="F716" s="1" t="s">
        <v>1226</v>
      </c>
      <c r="G716" s="1" t="s">
        <v>20</v>
      </c>
      <c r="H716" s="9">
        <f>_xlfn.XLOOKUP(Tabla3[[#This Row],[Nit]],Hoja2!A716:A2139,Hoja2!C716:C2139)</f>
        <v>1000000</v>
      </c>
      <c r="I716" s="1">
        <f>_xlfn.XLOOKUP(Tabla3[[#This Row],[Cliente]],'[1]Datos Contacto'!$A$2:$A$23,'[1]Datos Contacto'!$E$2:$E$23,0,0,1)</f>
        <v>0</v>
      </c>
    </row>
    <row r="717" spans="1:9" x14ac:dyDescent="0.25">
      <c r="A717" s="1">
        <v>901741042</v>
      </c>
      <c r="B717" s="1" t="s">
        <v>732</v>
      </c>
      <c r="C717" s="1"/>
      <c r="D717" s="21" t="s">
        <v>1225</v>
      </c>
      <c r="E717" s="1" t="s">
        <v>9</v>
      </c>
      <c r="F717" s="1" t="s">
        <v>1226</v>
      </c>
      <c r="G717" s="1" t="s">
        <v>11</v>
      </c>
      <c r="H717" s="9">
        <f>_xlfn.XLOOKUP(Tabla3[[#This Row],[Nit]],Hoja2!A717:A2140,Hoja2!C717:C2140)</f>
        <v>1000000</v>
      </c>
      <c r="I717" s="1">
        <f>_xlfn.XLOOKUP(Tabla3[[#This Row],[Cliente]],'[1]Datos Contacto'!$A$2:$A$23,'[1]Datos Contacto'!$E$2:$E$23,0,0,1)</f>
        <v>0</v>
      </c>
    </row>
    <row r="718" spans="1:9" x14ac:dyDescent="0.25">
      <c r="A718" s="1">
        <v>830081427</v>
      </c>
      <c r="B718" s="1" t="s">
        <v>1222</v>
      </c>
      <c r="C718" s="1"/>
      <c r="D718" s="21" t="s">
        <v>1225</v>
      </c>
      <c r="E718" s="1" t="s">
        <v>6</v>
      </c>
      <c r="F718" s="1" t="s">
        <v>1226</v>
      </c>
      <c r="G718" s="1" t="s">
        <v>7</v>
      </c>
      <c r="H718" s="9">
        <f>_xlfn.XLOOKUP(Tabla3[[#This Row],[Nit]],Hoja2!A718:A2141,Hoja2!C718:C2141)</f>
        <v>140000000</v>
      </c>
      <c r="I718" s="1" t="str">
        <f>_xlfn.XLOOKUP(Tabla3[[#This Row],[Cliente]],'[1]Datos Contacto'!$A$2:$A$23,'[1]Datos Contacto'!$E$2:$E$23,0,0,1)</f>
        <v>factura.foodgroup@takami.co</v>
      </c>
    </row>
    <row r="719" spans="1:9" x14ac:dyDescent="0.25">
      <c r="A719" s="1">
        <v>152</v>
      </c>
      <c r="B719" s="1" t="s">
        <v>734</v>
      </c>
      <c r="C719" s="1"/>
      <c r="D719" s="21" t="s">
        <v>1225</v>
      </c>
      <c r="E719" s="1" t="s">
        <v>9</v>
      </c>
      <c r="F719" s="1" t="s">
        <v>1226</v>
      </c>
      <c r="G719" s="1" t="s">
        <v>15</v>
      </c>
      <c r="H719" s="9">
        <f>_xlfn.XLOOKUP(Tabla3[[#This Row],[Nit]],Hoja2!A719:A2142,Hoja2!C719:C2142)</f>
        <v>1000000</v>
      </c>
      <c r="I719" s="1">
        <f>_xlfn.XLOOKUP(Tabla3[[#This Row],[Cliente]],'[1]Datos Contacto'!$A$2:$A$23,'[1]Datos Contacto'!$E$2:$E$23,0,0,1)</f>
        <v>0</v>
      </c>
    </row>
    <row r="720" spans="1:9" x14ac:dyDescent="0.25">
      <c r="A720" s="1">
        <v>19087926</v>
      </c>
      <c r="B720" s="1" t="s">
        <v>735</v>
      </c>
      <c r="C720" s="1"/>
      <c r="D720" s="21" t="s">
        <v>1225</v>
      </c>
      <c r="E720" s="1" t="s">
        <v>9</v>
      </c>
      <c r="F720" s="1" t="s">
        <v>1226</v>
      </c>
      <c r="G720" s="1" t="s">
        <v>20</v>
      </c>
      <c r="H720" s="9">
        <f>_xlfn.XLOOKUP(Tabla3[[#This Row],[Nit]],Hoja2!A720:A2143,Hoja2!C720:C2143)</f>
        <v>1000000</v>
      </c>
      <c r="I720" s="1">
        <f>_xlfn.XLOOKUP(Tabla3[[#This Row],[Cliente]],'[1]Datos Contacto'!$A$2:$A$23,'[1]Datos Contacto'!$E$2:$E$23,0,0,1)</f>
        <v>0</v>
      </c>
    </row>
    <row r="721" spans="1:9" x14ac:dyDescent="0.25">
      <c r="A721" s="1">
        <v>901221071</v>
      </c>
      <c r="B721" s="1" t="s">
        <v>736</v>
      </c>
      <c r="C721" s="1"/>
      <c r="D721" s="21" t="s">
        <v>1225</v>
      </c>
      <c r="E721" s="1" t="s">
        <v>9</v>
      </c>
      <c r="F721" s="1" t="s">
        <v>1226</v>
      </c>
      <c r="G721" s="1" t="s">
        <v>11</v>
      </c>
      <c r="H721" s="9">
        <f>_xlfn.XLOOKUP(Tabla3[[#This Row],[Nit]],Hoja2!A721:A2144,Hoja2!C721:C2144)</f>
        <v>1000000</v>
      </c>
      <c r="I721" s="1">
        <f>_xlfn.XLOOKUP(Tabla3[[#This Row],[Cliente]],'[1]Datos Contacto'!$A$2:$A$23,'[1]Datos Contacto'!$E$2:$E$23,0,0,1)</f>
        <v>0</v>
      </c>
    </row>
    <row r="722" spans="1:9" x14ac:dyDescent="0.25">
      <c r="A722" s="1">
        <v>900545146</v>
      </c>
      <c r="B722" s="1" t="s">
        <v>737</v>
      </c>
      <c r="C722" s="1"/>
      <c r="D722" s="21" t="s">
        <v>1225</v>
      </c>
      <c r="E722" s="1" t="s">
        <v>9</v>
      </c>
      <c r="F722" s="1" t="s">
        <v>1226</v>
      </c>
      <c r="G722" s="1" t="s">
        <v>7</v>
      </c>
      <c r="H722" s="9">
        <f>_xlfn.XLOOKUP(Tabla3[[#This Row],[Nit]],Hoja2!A722:A2145,Hoja2!C722:C2145)</f>
        <v>1000000</v>
      </c>
      <c r="I722" s="1">
        <f>_xlfn.XLOOKUP(Tabla3[[#This Row],[Cliente]],'[1]Datos Contacto'!$A$2:$A$23,'[1]Datos Contacto'!$E$2:$E$23,0,0,1)</f>
        <v>0</v>
      </c>
    </row>
    <row r="723" spans="1:9" x14ac:dyDescent="0.25">
      <c r="A723" s="1">
        <v>901400632</v>
      </c>
      <c r="B723" s="1" t="s">
        <v>738</v>
      </c>
      <c r="C723" s="1"/>
      <c r="D723" s="21" t="s">
        <v>1225</v>
      </c>
      <c r="E723" s="1" t="s">
        <v>9</v>
      </c>
      <c r="F723" s="1" t="s">
        <v>1226</v>
      </c>
      <c r="G723" s="1" t="s">
        <v>7</v>
      </c>
      <c r="H723" s="9">
        <f>_xlfn.XLOOKUP(Tabla3[[#This Row],[Nit]],Hoja2!A723:A2146,Hoja2!C723:C2146)</f>
        <v>1000000</v>
      </c>
      <c r="I723" s="1">
        <f>_xlfn.XLOOKUP(Tabla3[[#This Row],[Cliente]],'[1]Datos Contacto'!$A$2:$A$23,'[1]Datos Contacto'!$E$2:$E$23,0,0,1)</f>
        <v>0</v>
      </c>
    </row>
    <row r="724" spans="1:9" x14ac:dyDescent="0.25">
      <c r="A724" s="1">
        <v>830088374</v>
      </c>
      <c r="B724" s="1" t="s">
        <v>739</v>
      </c>
      <c r="C724" s="1"/>
      <c r="D724" s="21" t="s">
        <v>1225</v>
      </c>
      <c r="E724" s="1" t="s">
        <v>9</v>
      </c>
      <c r="F724" s="1" t="s">
        <v>1226</v>
      </c>
      <c r="G724" s="1" t="s">
        <v>7</v>
      </c>
      <c r="H724" s="9">
        <f>_xlfn.XLOOKUP(Tabla3[[#This Row],[Nit]],Hoja2!A724:A2147,Hoja2!C724:C2147)</f>
        <v>1000000</v>
      </c>
      <c r="I724" s="1">
        <f>_xlfn.XLOOKUP(Tabla3[[#This Row],[Cliente]],'[1]Datos Contacto'!$A$2:$A$23,'[1]Datos Contacto'!$E$2:$E$23,0,0,1)</f>
        <v>0</v>
      </c>
    </row>
    <row r="725" spans="1:9" x14ac:dyDescent="0.25">
      <c r="A725" s="1">
        <v>901324793</v>
      </c>
      <c r="B725" s="1" t="s">
        <v>740</v>
      </c>
      <c r="C725" s="1"/>
      <c r="D725" s="21" t="s">
        <v>1225</v>
      </c>
      <c r="E725" s="1" t="s">
        <v>9</v>
      </c>
      <c r="F725" s="1" t="s">
        <v>1226</v>
      </c>
      <c r="G725" s="1" t="s">
        <v>7</v>
      </c>
      <c r="H725" s="9">
        <f>_xlfn.XLOOKUP(Tabla3[[#This Row],[Nit]],Hoja2!A725:A2148,Hoja2!C725:C2148)</f>
        <v>10000000</v>
      </c>
      <c r="I725" s="1">
        <f>_xlfn.XLOOKUP(Tabla3[[#This Row],[Cliente]],'[1]Datos Contacto'!$A$2:$A$23,'[1]Datos Contacto'!$E$2:$E$23,0,0,1)</f>
        <v>0</v>
      </c>
    </row>
    <row r="726" spans="1:9" x14ac:dyDescent="0.25">
      <c r="A726" s="1">
        <v>901399873</v>
      </c>
      <c r="B726" s="1" t="s">
        <v>741</v>
      </c>
      <c r="C726" s="1"/>
      <c r="D726" s="21" t="s">
        <v>1225</v>
      </c>
      <c r="E726" s="1" t="s">
        <v>6</v>
      </c>
      <c r="F726" s="1" t="s">
        <v>1226</v>
      </c>
      <c r="G726" s="1" t="s">
        <v>7</v>
      </c>
      <c r="H726" s="9">
        <f>_xlfn.XLOOKUP(Tabla3[[#This Row],[Nit]],Hoja2!A726:A2149,Hoja2!C726:C2149)</f>
        <v>10000000</v>
      </c>
      <c r="I726" s="1">
        <f>_xlfn.XLOOKUP(Tabla3[[#This Row],[Cliente]],'[1]Datos Contacto'!$A$2:$A$23,'[1]Datos Contacto'!$E$2:$E$23,0,0,1)</f>
        <v>0</v>
      </c>
    </row>
    <row r="727" spans="1:9" x14ac:dyDescent="0.25">
      <c r="A727" s="1">
        <v>901317417</v>
      </c>
      <c r="B727" s="1" t="s">
        <v>742</v>
      </c>
      <c r="C727" s="1"/>
      <c r="D727" s="21" t="s">
        <v>1225</v>
      </c>
      <c r="E727" s="1" t="s">
        <v>9</v>
      </c>
      <c r="F727" s="1" t="s">
        <v>1226</v>
      </c>
      <c r="G727" s="1" t="s">
        <v>7</v>
      </c>
      <c r="H727" s="9">
        <f>_xlfn.XLOOKUP(Tabla3[[#This Row],[Nit]],Hoja2!A727:A2150,Hoja2!C727:C2150)</f>
        <v>1000000</v>
      </c>
      <c r="I727" s="1">
        <f>_xlfn.XLOOKUP(Tabla3[[#This Row],[Cliente]],'[1]Datos Contacto'!$A$2:$A$23,'[1]Datos Contacto'!$E$2:$E$23,0,0,1)</f>
        <v>0</v>
      </c>
    </row>
    <row r="728" spans="1:9" x14ac:dyDescent="0.25">
      <c r="A728" s="1">
        <v>901417317</v>
      </c>
      <c r="B728" s="1" t="s">
        <v>743</v>
      </c>
      <c r="C728" s="1"/>
      <c r="D728" s="21" t="s">
        <v>1225</v>
      </c>
      <c r="E728" s="1" t="s">
        <v>9</v>
      </c>
      <c r="F728" s="1" t="s">
        <v>1226</v>
      </c>
      <c r="G728" s="1" t="s">
        <v>11</v>
      </c>
      <c r="H728" s="9">
        <f>_xlfn.XLOOKUP(Tabla3[[#This Row],[Nit]],Hoja2!A728:A2151,Hoja2!C728:C2151)</f>
        <v>1000000</v>
      </c>
      <c r="I728" s="1">
        <f>_xlfn.XLOOKUP(Tabla3[[#This Row],[Cliente]],'[1]Datos Contacto'!$A$2:$A$23,'[1]Datos Contacto'!$E$2:$E$23,0,0,1)</f>
        <v>0</v>
      </c>
    </row>
    <row r="729" spans="1:9" x14ac:dyDescent="0.25">
      <c r="A729" s="1">
        <v>94460960</v>
      </c>
      <c r="B729" s="1" t="s">
        <v>744</v>
      </c>
      <c r="C729" s="1"/>
      <c r="D729" s="21" t="s">
        <v>1225</v>
      </c>
      <c r="E729" s="1" t="s">
        <v>9</v>
      </c>
      <c r="F729" s="1" t="s">
        <v>1226</v>
      </c>
      <c r="G729" s="1" t="s">
        <v>15</v>
      </c>
      <c r="H729" s="9">
        <f>_xlfn.XLOOKUP(Tabla3[[#This Row],[Nit]],Hoja2!A729:A2152,Hoja2!C729:C2152)</f>
        <v>1000000</v>
      </c>
      <c r="I729" s="1">
        <f>_xlfn.XLOOKUP(Tabla3[[#This Row],[Cliente]],'[1]Datos Contacto'!$A$2:$A$23,'[1]Datos Contacto'!$E$2:$E$23,0,0,1)</f>
        <v>0</v>
      </c>
    </row>
    <row r="730" spans="1:9" x14ac:dyDescent="0.25">
      <c r="A730" s="1">
        <v>1022372328</v>
      </c>
      <c r="B730" s="1" t="s">
        <v>745</v>
      </c>
      <c r="C730" s="1"/>
      <c r="D730" s="21" t="s">
        <v>1225</v>
      </c>
      <c r="E730" s="1" t="s">
        <v>9</v>
      </c>
      <c r="F730" s="1" t="s">
        <v>1226</v>
      </c>
      <c r="G730" s="1" t="s">
        <v>15</v>
      </c>
      <c r="H730" s="9">
        <f>_xlfn.XLOOKUP(Tabla3[[#This Row],[Nit]],Hoja2!A730:A2153,Hoja2!C730:C2153)</f>
        <v>1000000</v>
      </c>
      <c r="I730" s="1">
        <f>_xlfn.XLOOKUP(Tabla3[[#This Row],[Cliente]],'[1]Datos Contacto'!$A$2:$A$23,'[1]Datos Contacto'!$E$2:$E$23,0,0,1)</f>
        <v>0</v>
      </c>
    </row>
    <row r="731" spans="1:9" x14ac:dyDescent="0.25">
      <c r="A731" s="1">
        <v>40011907</v>
      </c>
      <c r="B731" s="1" t="s">
        <v>746</v>
      </c>
      <c r="C731" s="1"/>
      <c r="D731" s="21" t="s">
        <v>1225</v>
      </c>
      <c r="E731" s="1" t="s">
        <v>9</v>
      </c>
      <c r="F731" s="1" t="s">
        <v>1226</v>
      </c>
      <c r="G731" s="1" t="s">
        <v>11</v>
      </c>
      <c r="H731" s="9">
        <f>_xlfn.XLOOKUP(Tabla3[[#This Row],[Nit]],Hoja2!A731:A2154,Hoja2!C731:C2154)</f>
        <v>1000000</v>
      </c>
      <c r="I731" s="1">
        <f>_xlfn.XLOOKUP(Tabla3[[#This Row],[Cliente]],'[1]Datos Contacto'!$A$2:$A$23,'[1]Datos Contacto'!$E$2:$E$23,0,0,1)</f>
        <v>0</v>
      </c>
    </row>
    <row r="732" spans="1:9" x14ac:dyDescent="0.25">
      <c r="A732" s="1">
        <v>901513875</v>
      </c>
      <c r="B732" s="1" t="s">
        <v>747</v>
      </c>
      <c r="C732" s="1"/>
      <c r="D732" s="21" t="s">
        <v>1225</v>
      </c>
      <c r="E732" s="1" t="s">
        <v>9</v>
      </c>
      <c r="F732" s="1" t="s">
        <v>1226</v>
      </c>
      <c r="G732" s="1" t="s">
        <v>7</v>
      </c>
      <c r="H732" s="9">
        <f>_xlfn.XLOOKUP(Tabla3[[#This Row],[Nit]],Hoja2!A732:A2155,Hoja2!C732:C2155)</f>
        <v>1000000</v>
      </c>
      <c r="I732" s="1">
        <f>_xlfn.XLOOKUP(Tabla3[[#This Row],[Cliente]],'[1]Datos Contacto'!$A$2:$A$23,'[1]Datos Contacto'!$E$2:$E$23,0,0,1)</f>
        <v>0</v>
      </c>
    </row>
    <row r="733" spans="1:9" x14ac:dyDescent="0.25">
      <c r="A733" s="1">
        <v>900859016</v>
      </c>
      <c r="B733" s="1" t="s">
        <v>748</v>
      </c>
      <c r="C733" s="1"/>
      <c r="D733" s="21" t="s">
        <v>1225</v>
      </c>
      <c r="E733" s="1" t="s">
        <v>9</v>
      </c>
      <c r="F733" s="1" t="s">
        <v>1226</v>
      </c>
      <c r="G733" s="1" t="s">
        <v>11</v>
      </c>
      <c r="H733" s="9">
        <f>_xlfn.XLOOKUP(Tabla3[[#This Row],[Nit]],Hoja2!A733:A2156,Hoja2!C733:C2156)</f>
        <v>1000000</v>
      </c>
      <c r="I733" s="1">
        <f>_xlfn.XLOOKUP(Tabla3[[#This Row],[Cliente]],'[1]Datos Contacto'!$A$2:$A$23,'[1]Datos Contacto'!$E$2:$E$23,0,0,1)</f>
        <v>0</v>
      </c>
    </row>
    <row r="734" spans="1:9" x14ac:dyDescent="0.25">
      <c r="A734" s="1">
        <v>1010230652</v>
      </c>
      <c r="B734" s="1" t="s">
        <v>749</v>
      </c>
      <c r="C734" s="1"/>
      <c r="D734" s="21" t="s">
        <v>1225</v>
      </c>
      <c r="E734" s="1" t="s">
        <v>9</v>
      </c>
      <c r="F734" s="1" t="s">
        <v>1226</v>
      </c>
      <c r="G734" s="1" t="s">
        <v>15</v>
      </c>
      <c r="H734" s="9">
        <f>_xlfn.XLOOKUP(Tabla3[[#This Row],[Nit]],Hoja2!A734:A2157,Hoja2!C734:C2157)</f>
        <v>1000000</v>
      </c>
      <c r="I734" s="1">
        <f>_xlfn.XLOOKUP(Tabla3[[#This Row],[Cliente]],'[1]Datos Contacto'!$A$2:$A$23,'[1]Datos Contacto'!$E$2:$E$23,0,0,1)</f>
        <v>0</v>
      </c>
    </row>
    <row r="735" spans="1:9" x14ac:dyDescent="0.25">
      <c r="A735" s="1">
        <v>800252619</v>
      </c>
      <c r="B735" s="1" t="s">
        <v>750</v>
      </c>
      <c r="C735" s="1"/>
      <c r="D735" s="21" t="s">
        <v>1225</v>
      </c>
      <c r="E735" s="1" t="s">
        <v>9</v>
      </c>
      <c r="F735" s="1" t="s">
        <v>1226</v>
      </c>
      <c r="G735" s="1" t="s">
        <v>20</v>
      </c>
      <c r="H735" s="9">
        <f>_xlfn.XLOOKUP(Tabla3[[#This Row],[Nit]],Hoja2!A735:A2158,Hoja2!C735:C2158)</f>
        <v>1000000</v>
      </c>
      <c r="I735" s="1">
        <f>_xlfn.XLOOKUP(Tabla3[[#This Row],[Cliente]],'[1]Datos Contacto'!$A$2:$A$23,'[1]Datos Contacto'!$E$2:$E$23,0,0,1)</f>
        <v>0</v>
      </c>
    </row>
    <row r="736" spans="1:9" x14ac:dyDescent="0.25">
      <c r="A736" s="1">
        <v>1069492514</v>
      </c>
      <c r="B736" s="1" t="s">
        <v>751</v>
      </c>
      <c r="C736" s="1"/>
      <c r="D736" s="21" t="s">
        <v>1225</v>
      </c>
      <c r="E736" s="1" t="s">
        <v>9</v>
      </c>
      <c r="F736" s="1" t="s">
        <v>1226</v>
      </c>
      <c r="G736" s="1" t="s">
        <v>15</v>
      </c>
      <c r="H736" s="9">
        <f>_xlfn.XLOOKUP(Tabla3[[#This Row],[Nit]],Hoja2!A736:A2159,Hoja2!C736:C2159)</f>
        <v>1000000</v>
      </c>
      <c r="I736" s="1">
        <f>_xlfn.XLOOKUP(Tabla3[[#This Row],[Cliente]],'[1]Datos Contacto'!$A$2:$A$23,'[1]Datos Contacto'!$E$2:$E$23,0,0,1)</f>
        <v>0</v>
      </c>
    </row>
    <row r="737" spans="1:9" x14ac:dyDescent="0.25">
      <c r="A737" s="1">
        <v>13615090</v>
      </c>
      <c r="B737" s="1" t="s">
        <v>752</v>
      </c>
      <c r="C737" s="1"/>
      <c r="D737" s="21" t="s">
        <v>1225</v>
      </c>
      <c r="E737" s="1" t="s">
        <v>9</v>
      </c>
      <c r="F737" s="1" t="s">
        <v>1226</v>
      </c>
      <c r="G737" s="1" t="s">
        <v>7</v>
      </c>
      <c r="H737" s="9">
        <f>_xlfn.XLOOKUP(Tabla3[[#This Row],[Nit]],Hoja2!A737:A2160,Hoja2!C737:C2160)</f>
        <v>1000000</v>
      </c>
      <c r="I737" s="1">
        <f>_xlfn.XLOOKUP(Tabla3[[#This Row],[Cliente]],'[1]Datos Contacto'!$A$2:$A$23,'[1]Datos Contacto'!$E$2:$E$23,0,0,1)</f>
        <v>0</v>
      </c>
    </row>
    <row r="738" spans="1:9" x14ac:dyDescent="0.25">
      <c r="A738" s="1">
        <v>80795478</v>
      </c>
      <c r="B738" s="1" t="s">
        <v>753</v>
      </c>
      <c r="C738" s="1"/>
      <c r="D738" s="21" t="s">
        <v>1225</v>
      </c>
      <c r="E738" s="1" t="s">
        <v>9</v>
      </c>
      <c r="F738" s="1" t="s">
        <v>1226</v>
      </c>
      <c r="G738" s="1" t="s">
        <v>11</v>
      </c>
      <c r="H738" s="9">
        <f>_xlfn.XLOOKUP(Tabla3[[#This Row],[Nit]],Hoja2!A738:A2161,Hoja2!C738:C2161)</f>
        <v>1000000</v>
      </c>
      <c r="I738" s="1">
        <f>_xlfn.XLOOKUP(Tabla3[[#This Row],[Cliente]],'[1]Datos Contacto'!$A$2:$A$23,'[1]Datos Contacto'!$E$2:$E$23,0,0,1)</f>
        <v>0</v>
      </c>
    </row>
    <row r="739" spans="1:9" x14ac:dyDescent="0.25">
      <c r="A739" s="1">
        <v>1</v>
      </c>
      <c r="B739" s="1" t="s">
        <v>754</v>
      </c>
      <c r="C739" s="1"/>
      <c r="D739" s="21" t="s">
        <v>1225</v>
      </c>
      <c r="E739" s="1" t="s">
        <v>9</v>
      </c>
      <c r="F739" s="1" t="s">
        <v>1226</v>
      </c>
      <c r="G739" s="1" t="s">
        <v>15</v>
      </c>
      <c r="H739" s="9">
        <f>_xlfn.XLOOKUP(Tabla3[[#This Row],[Nit]],Hoja2!A739:A2162,Hoja2!C739:C2162)</f>
        <v>1000000</v>
      </c>
      <c r="I739" s="1">
        <f>_xlfn.XLOOKUP(Tabla3[[#This Row],[Cliente]],'[1]Datos Contacto'!$A$2:$A$23,'[1]Datos Contacto'!$E$2:$E$23,0,0,1)</f>
        <v>0</v>
      </c>
    </row>
    <row r="740" spans="1:9" x14ac:dyDescent="0.25">
      <c r="A740" s="1">
        <v>900895145</v>
      </c>
      <c r="B740" s="1" t="s">
        <v>755</v>
      </c>
      <c r="C740" s="1"/>
      <c r="D740" s="21" t="s">
        <v>1225</v>
      </c>
      <c r="E740" s="1" t="s">
        <v>9</v>
      </c>
      <c r="F740" s="1" t="s">
        <v>1226</v>
      </c>
      <c r="G740" s="1" t="s">
        <v>7</v>
      </c>
      <c r="H740" s="9">
        <f>_xlfn.XLOOKUP(Tabla3[[#This Row],[Nit]],Hoja2!A740:A2163,Hoja2!C740:C2163)</f>
        <v>1000000</v>
      </c>
      <c r="I740" s="1">
        <f>_xlfn.XLOOKUP(Tabla3[[#This Row],[Cliente]],'[1]Datos Contacto'!$A$2:$A$23,'[1]Datos Contacto'!$E$2:$E$23,0,0,1)</f>
        <v>0</v>
      </c>
    </row>
    <row r="741" spans="1:9" x14ac:dyDescent="0.25">
      <c r="A741" s="1">
        <v>1026262490</v>
      </c>
      <c r="B741" s="1" t="s">
        <v>756</v>
      </c>
      <c r="C741" s="1"/>
      <c r="D741" s="21" t="s">
        <v>1225</v>
      </c>
      <c r="E741" s="1" t="s">
        <v>9</v>
      </c>
      <c r="F741" s="1" t="s">
        <v>1226</v>
      </c>
      <c r="G741" s="1" t="s">
        <v>7</v>
      </c>
      <c r="H741" s="9">
        <f>_xlfn.XLOOKUP(Tabla3[[#This Row],[Nit]],Hoja2!A741:A2164,Hoja2!C741:C2164)</f>
        <v>1000000</v>
      </c>
      <c r="I741" s="1">
        <f>_xlfn.XLOOKUP(Tabla3[[#This Row],[Cliente]],'[1]Datos Contacto'!$A$2:$A$23,'[1]Datos Contacto'!$E$2:$E$23,0,0,1)</f>
        <v>0</v>
      </c>
    </row>
    <row r="742" spans="1:9" x14ac:dyDescent="0.25">
      <c r="A742" s="1">
        <v>1019078093</v>
      </c>
      <c r="B742" s="1" t="s">
        <v>757</v>
      </c>
      <c r="C742" s="1"/>
      <c r="D742" s="21" t="s">
        <v>1225</v>
      </c>
      <c r="E742" s="1" t="s">
        <v>9</v>
      </c>
      <c r="F742" s="1" t="s">
        <v>1226</v>
      </c>
      <c r="G742" s="1" t="s">
        <v>11</v>
      </c>
      <c r="H742" s="9">
        <f>_xlfn.XLOOKUP(Tabla3[[#This Row],[Nit]],Hoja2!A742:A2165,Hoja2!C742:C2165)</f>
        <v>1000000</v>
      </c>
      <c r="I742" s="1">
        <f>_xlfn.XLOOKUP(Tabla3[[#This Row],[Cliente]],'[1]Datos Contacto'!$A$2:$A$23,'[1]Datos Contacto'!$E$2:$E$23,0,0,1)</f>
        <v>0</v>
      </c>
    </row>
    <row r="743" spans="1:9" x14ac:dyDescent="0.25">
      <c r="A743" s="1">
        <v>415485</v>
      </c>
      <c r="B743" s="1" t="s">
        <v>758</v>
      </c>
      <c r="C743" s="1"/>
      <c r="D743" s="21" t="s">
        <v>1225</v>
      </c>
      <c r="E743" s="1" t="s">
        <v>9</v>
      </c>
      <c r="F743" s="1" t="s">
        <v>1226</v>
      </c>
      <c r="G743" s="1" t="s">
        <v>11</v>
      </c>
      <c r="H743" s="9">
        <f>_xlfn.XLOOKUP(Tabla3[[#This Row],[Nit]],Hoja2!A743:A2166,Hoja2!C743:C2166)</f>
        <v>1000000</v>
      </c>
      <c r="I743" s="1">
        <f>_xlfn.XLOOKUP(Tabla3[[#This Row],[Cliente]],'[1]Datos Contacto'!$A$2:$A$23,'[1]Datos Contacto'!$E$2:$E$23,0,0,1)</f>
        <v>0</v>
      </c>
    </row>
    <row r="744" spans="1:9" x14ac:dyDescent="0.25">
      <c r="A744" s="1">
        <v>10284757</v>
      </c>
      <c r="B744" s="1" t="s">
        <v>759</v>
      </c>
      <c r="C744" s="1"/>
      <c r="D744" s="21" t="s">
        <v>1225</v>
      </c>
      <c r="E744" s="1" t="s">
        <v>9</v>
      </c>
      <c r="F744" s="1" t="s">
        <v>1226</v>
      </c>
      <c r="G744" s="1" t="s">
        <v>11</v>
      </c>
      <c r="H744" s="9">
        <f>_xlfn.XLOOKUP(Tabla3[[#This Row],[Nit]],Hoja2!A744:A2167,Hoja2!C744:C2167)</f>
        <v>1000000</v>
      </c>
      <c r="I744" s="1">
        <f>_xlfn.XLOOKUP(Tabla3[[#This Row],[Cliente]],'[1]Datos Contacto'!$A$2:$A$23,'[1]Datos Contacto'!$E$2:$E$23,0,0,1)</f>
        <v>0</v>
      </c>
    </row>
    <row r="745" spans="1:9" x14ac:dyDescent="0.25">
      <c r="A745" s="1">
        <v>80159388</v>
      </c>
      <c r="B745" s="1" t="s">
        <v>760</v>
      </c>
      <c r="C745" s="1"/>
      <c r="D745" s="21" t="s">
        <v>1225</v>
      </c>
      <c r="E745" s="1" t="s">
        <v>9</v>
      </c>
      <c r="F745" s="1" t="s">
        <v>1226</v>
      </c>
      <c r="G745" s="1" t="s">
        <v>11</v>
      </c>
      <c r="H745" s="9">
        <f>_xlfn.XLOOKUP(Tabla3[[#This Row],[Nit]],Hoja2!A745:A2168,Hoja2!C745:C2168)</f>
        <v>1000000</v>
      </c>
      <c r="I745" s="1">
        <f>_xlfn.XLOOKUP(Tabla3[[#This Row],[Cliente]],'[1]Datos Contacto'!$A$2:$A$23,'[1]Datos Contacto'!$E$2:$E$23,0,0,1)</f>
        <v>0</v>
      </c>
    </row>
    <row r="746" spans="1:9" x14ac:dyDescent="0.25">
      <c r="A746" s="1">
        <v>860034118</v>
      </c>
      <c r="B746" s="1" t="s">
        <v>761</v>
      </c>
      <c r="C746" s="1"/>
      <c r="D746" s="21" t="s">
        <v>1225</v>
      </c>
      <c r="E746" s="1" t="s">
        <v>9</v>
      </c>
      <c r="F746" s="1" t="s">
        <v>1226</v>
      </c>
      <c r="G746" s="1" t="s">
        <v>11</v>
      </c>
      <c r="H746" s="9">
        <f>_xlfn.XLOOKUP(Tabla3[[#This Row],[Nit]],Hoja2!A746:A2169,Hoja2!C746:C2169)</f>
        <v>1000000</v>
      </c>
      <c r="I746" s="1">
        <f>_xlfn.XLOOKUP(Tabla3[[#This Row],[Cliente]],'[1]Datos Contacto'!$A$2:$A$23,'[1]Datos Contacto'!$E$2:$E$23,0,0,1)</f>
        <v>0</v>
      </c>
    </row>
    <row r="747" spans="1:9" x14ac:dyDescent="0.25">
      <c r="A747" s="1">
        <v>901093584</v>
      </c>
      <c r="B747" s="1" t="s">
        <v>762</v>
      </c>
      <c r="C747" s="1"/>
      <c r="D747" s="21" t="s">
        <v>1225</v>
      </c>
      <c r="E747" s="1" t="s">
        <v>9</v>
      </c>
      <c r="F747" s="1" t="s">
        <v>1226</v>
      </c>
      <c r="G747" s="1" t="s">
        <v>15</v>
      </c>
      <c r="H747" s="9">
        <f>_xlfn.XLOOKUP(Tabla3[[#This Row],[Nit]],Hoja2!A747:A2170,Hoja2!C747:C2170)</f>
        <v>1000000</v>
      </c>
      <c r="I747" s="1">
        <f>_xlfn.XLOOKUP(Tabla3[[#This Row],[Cliente]],'[1]Datos Contacto'!$A$2:$A$23,'[1]Datos Contacto'!$E$2:$E$23,0,0,1)</f>
        <v>0</v>
      </c>
    </row>
    <row r="748" spans="1:9" x14ac:dyDescent="0.25">
      <c r="A748" s="1">
        <v>80773361</v>
      </c>
      <c r="B748" s="1" t="s">
        <v>763</v>
      </c>
      <c r="C748" s="1"/>
      <c r="D748" s="21" t="s">
        <v>1225</v>
      </c>
      <c r="E748" s="1" t="s">
        <v>9</v>
      </c>
      <c r="F748" s="1" t="s">
        <v>1226</v>
      </c>
      <c r="G748" s="1" t="s">
        <v>11</v>
      </c>
      <c r="H748" s="9">
        <f>_xlfn.XLOOKUP(Tabla3[[#This Row],[Nit]],Hoja2!A748:A2171,Hoja2!C748:C2171)</f>
        <v>1000000</v>
      </c>
      <c r="I748" s="1">
        <f>_xlfn.XLOOKUP(Tabla3[[#This Row],[Cliente]],'[1]Datos Contacto'!$A$2:$A$23,'[1]Datos Contacto'!$E$2:$E$23,0,0,1)</f>
        <v>0</v>
      </c>
    </row>
    <row r="749" spans="1:9" x14ac:dyDescent="0.25">
      <c r="A749" s="1">
        <v>5995677</v>
      </c>
      <c r="B749" s="1" t="s">
        <v>764</v>
      </c>
      <c r="C749" s="1"/>
      <c r="D749" s="21" t="s">
        <v>1225</v>
      </c>
      <c r="E749" s="1" t="s">
        <v>9</v>
      </c>
      <c r="F749" s="1" t="s">
        <v>1226</v>
      </c>
      <c r="G749" s="1" t="s">
        <v>11</v>
      </c>
      <c r="H749" s="9">
        <f>_xlfn.XLOOKUP(Tabla3[[#This Row],[Nit]],Hoja2!A749:A2172,Hoja2!C749:C2172)</f>
        <v>1000000</v>
      </c>
      <c r="I749" s="1">
        <f>_xlfn.XLOOKUP(Tabla3[[#This Row],[Cliente]],'[1]Datos Contacto'!$A$2:$A$23,'[1]Datos Contacto'!$E$2:$E$23,0,0,1)</f>
        <v>0</v>
      </c>
    </row>
    <row r="750" spans="1:9" x14ac:dyDescent="0.25">
      <c r="A750" s="1">
        <v>142</v>
      </c>
      <c r="B750" s="1" t="s">
        <v>765</v>
      </c>
      <c r="C750" s="1"/>
      <c r="D750" s="21" t="s">
        <v>1225</v>
      </c>
      <c r="E750" s="1" t="s">
        <v>9</v>
      </c>
      <c r="F750" s="1" t="s">
        <v>1226</v>
      </c>
      <c r="G750" s="1" t="s">
        <v>11</v>
      </c>
      <c r="H750" s="9">
        <f>_xlfn.XLOOKUP(Tabla3[[#This Row],[Nit]],Hoja2!A750:A2173,Hoja2!C750:C2173)</f>
        <v>1000000</v>
      </c>
      <c r="I750" s="1">
        <f>_xlfn.XLOOKUP(Tabla3[[#This Row],[Cliente]],'[1]Datos Contacto'!$A$2:$A$23,'[1]Datos Contacto'!$E$2:$E$23,0,0,1)</f>
        <v>0</v>
      </c>
    </row>
    <row r="751" spans="1:9" x14ac:dyDescent="0.25">
      <c r="A751" s="1">
        <v>1032479716</v>
      </c>
      <c r="B751" s="1" t="s">
        <v>766</v>
      </c>
      <c r="C751" s="1"/>
      <c r="D751" s="21" t="s">
        <v>1225</v>
      </c>
      <c r="E751" s="1" t="s">
        <v>9</v>
      </c>
      <c r="F751" s="1" t="s">
        <v>1226</v>
      </c>
      <c r="G751" s="1" t="s">
        <v>15</v>
      </c>
      <c r="H751" s="9">
        <f>_xlfn.XLOOKUP(Tabla3[[#This Row],[Nit]],Hoja2!A751:A2174,Hoja2!C751:C2174)</f>
        <v>1000000</v>
      </c>
      <c r="I751" s="1">
        <f>_xlfn.XLOOKUP(Tabla3[[#This Row],[Cliente]],'[1]Datos Contacto'!$A$2:$A$23,'[1]Datos Contacto'!$E$2:$E$23,0,0,1)</f>
        <v>0</v>
      </c>
    </row>
    <row r="752" spans="1:9" x14ac:dyDescent="0.25">
      <c r="A752" s="1">
        <v>1020812060</v>
      </c>
      <c r="B752" s="1" t="s">
        <v>767</v>
      </c>
      <c r="C752" s="1"/>
      <c r="D752" s="21" t="s">
        <v>1225</v>
      </c>
      <c r="E752" s="1" t="s">
        <v>9</v>
      </c>
      <c r="F752" s="1" t="s">
        <v>1226</v>
      </c>
      <c r="G752" s="1" t="s">
        <v>11</v>
      </c>
      <c r="H752" s="9">
        <f>_xlfn.XLOOKUP(Tabla3[[#This Row],[Nit]],Hoja2!A752:A2175,Hoja2!C752:C2175)</f>
        <v>1000000</v>
      </c>
      <c r="I752" s="1">
        <f>_xlfn.XLOOKUP(Tabla3[[#This Row],[Cliente]],'[1]Datos Contacto'!$A$2:$A$23,'[1]Datos Contacto'!$E$2:$E$23,0,0,1)</f>
        <v>0</v>
      </c>
    </row>
    <row r="753" spans="1:9" x14ac:dyDescent="0.25">
      <c r="A753" s="1">
        <v>900935009</v>
      </c>
      <c r="B753" s="1" t="s">
        <v>768</v>
      </c>
      <c r="C753" s="1"/>
      <c r="D753" s="21" t="s">
        <v>1225</v>
      </c>
      <c r="E753" s="1" t="s">
        <v>9</v>
      </c>
      <c r="F753" s="1" t="s">
        <v>1226</v>
      </c>
      <c r="G753" s="1" t="s">
        <v>11</v>
      </c>
      <c r="H753" s="9">
        <f>_xlfn.XLOOKUP(Tabla3[[#This Row],[Nit]],Hoja2!A753:A2176,Hoja2!C753:C2176)</f>
        <v>1000000</v>
      </c>
      <c r="I753" s="1">
        <f>_xlfn.XLOOKUP(Tabla3[[#This Row],[Cliente]],'[1]Datos Contacto'!$A$2:$A$23,'[1]Datos Contacto'!$E$2:$E$23,0,0,1)</f>
        <v>0</v>
      </c>
    </row>
    <row r="754" spans="1:9" x14ac:dyDescent="0.25">
      <c r="A754" s="1">
        <v>901212232</v>
      </c>
      <c r="B754" s="1" t="s">
        <v>769</v>
      </c>
      <c r="C754" s="1"/>
      <c r="D754" s="21" t="s">
        <v>1225</v>
      </c>
      <c r="E754" s="1" t="s">
        <v>6</v>
      </c>
      <c r="F754" s="1" t="s">
        <v>1226</v>
      </c>
      <c r="G754" s="1" t="s">
        <v>7</v>
      </c>
      <c r="H754" s="9">
        <f>_xlfn.XLOOKUP(Tabla3[[#This Row],[Nit]],Hoja2!A754:A2177,Hoja2!C754:C2177)</f>
        <v>20000000</v>
      </c>
      <c r="I754" s="1">
        <f>_xlfn.XLOOKUP(Tabla3[[#This Row],[Cliente]],'[1]Datos Contacto'!$A$2:$A$23,'[1]Datos Contacto'!$E$2:$E$23,0,0,1)</f>
        <v>0</v>
      </c>
    </row>
    <row r="755" spans="1:9" x14ac:dyDescent="0.25">
      <c r="A755" s="1">
        <v>229</v>
      </c>
      <c r="B755" s="1" t="s">
        <v>770</v>
      </c>
      <c r="C755" s="1"/>
      <c r="D755" s="21" t="s">
        <v>1225</v>
      </c>
      <c r="E755" s="1" t="s">
        <v>9</v>
      </c>
      <c r="F755" s="1" t="s">
        <v>1226</v>
      </c>
      <c r="G755" s="1" t="s">
        <v>7</v>
      </c>
      <c r="H755" s="9">
        <f>_xlfn.XLOOKUP(Tabla3[[#This Row],[Nit]],Hoja2!A755:A2178,Hoja2!C755:C2178)</f>
        <v>1000000</v>
      </c>
      <c r="I755" s="1">
        <f>_xlfn.XLOOKUP(Tabla3[[#This Row],[Cliente]],'[1]Datos Contacto'!$A$2:$A$23,'[1]Datos Contacto'!$E$2:$E$23,0,0,1)</f>
        <v>0</v>
      </c>
    </row>
    <row r="756" spans="1:9" x14ac:dyDescent="0.25">
      <c r="A756" s="1">
        <v>1013621054</v>
      </c>
      <c r="B756" s="1" t="s">
        <v>771</v>
      </c>
      <c r="C756" s="1"/>
      <c r="D756" s="21" t="s">
        <v>1225</v>
      </c>
      <c r="E756" s="1" t="s">
        <v>9</v>
      </c>
      <c r="F756" s="1" t="s">
        <v>1226</v>
      </c>
      <c r="G756" s="1" t="s">
        <v>11</v>
      </c>
      <c r="H756" s="9">
        <f>_xlfn.XLOOKUP(Tabla3[[#This Row],[Nit]],Hoja2!A756:A2179,Hoja2!C756:C2179)</f>
        <v>1000000</v>
      </c>
      <c r="I756" s="1">
        <f>_xlfn.XLOOKUP(Tabla3[[#This Row],[Cliente]],'[1]Datos Contacto'!$A$2:$A$23,'[1]Datos Contacto'!$E$2:$E$23,0,0,1)</f>
        <v>0</v>
      </c>
    </row>
    <row r="757" spans="1:9" x14ac:dyDescent="0.25">
      <c r="A757" s="1">
        <v>900570364</v>
      </c>
      <c r="B757" s="1" t="s">
        <v>772</v>
      </c>
      <c r="C757" s="1"/>
      <c r="D757" s="21" t="s">
        <v>1225</v>
      </c>
      <c r="E757" s="1" t="s">
        <v>9</v>
      </c>
      <c r="F757" s="1" t="s">
        <v>1226</v>
      </c>
      <c r="G757" s="1" t="s">
        <v>7</v>
      </c>
      <c r="H757" s="9">
        <f>_xlfn.XLOOKUP(Tabla3[[#This Row],[Nit]],Hoja2!A757:A2180,Hoja2!C757:C2180)</f>
        <v>1000000</v>
      </c>
      <c r="I757" s="1">
        <f>_xlfn.XLOOKUP(Tabla3[[#This Row],[Cliente]],'[1]Datos Contacto'!$A$2:$A$23,'[1]Datos Contacto'!$E$2:$E$23,0,0,1)</f>
        <v>0</v>
      </c>
    </row>
    <row r="758" spans="1:9" x14ac:dyDescent="0.25">
      <c r="A758" s="1">
        <v>131</v>
      </c>
      <c r="B758" s="1" t="s">
        <v>773</v>
      </c>
      <c r="C758" s="1"/>
      <c r="D758" s="21" t="s">
        <v>1225</v>
      </c>
      <c r="E758" s="1" t="s">
        <v>9</v>
      </c>
      <c r="F758" s="1" t="s">
        <v>1226</v>
      </c>
      <c r="G758" s="1" t="s">
        <v>11</v>
      </c>
      <c r="H758" s="9">
        <f>_xlfn.XLOOKUP(Tabla3[[#This Row],[Nit]],Hoja2!A758:A2181,Hoja2!C758:C2181)</f>
        <v>1000000</v>
      </c>
      <c r="I758" s="1">
        <f>_xlfn.XLOOKUP(Tabla3[[#This Row],[Cliente]],'[1]Datos Contacto'!$A$2:$A$23,'[1]Datos Contacto'!$E$2:$E$23,0,0,1)</f>
        <v>0</v>
      </c>
    </row>
    <row r="759" spans="1:9" x14ac:dyDescent="0.25">
      <c r="A759" s="1">
        <v>3065486</v>
      </c>
      <c r="B759" s="1" t="s">
        <v>774</v>
      </c>
      <c r="C759" s="1"/>
      <c r="D759" s="21" t="s">
        <v>1225</v>
      </c>
      <c r="E759" s="1" t="s">
        <v>9</v>
      </c>
      <c r="F759" s="1" t="s">
        <v>1226</v>
      </c>
      <c r="G759" s="1" t="s">
        <v>11</v>
      </c>
      <c r="H759" s="9">
        <f>_xlfn.XLOOKUP(Tabla3[[#This Row],[Nit]],Hoja2!A759:A2182,Hoja2!C759:C2182)</f>
        <v>3000000</v>
      </c>
      <c r="I759" s="1">
        <f>_xlfn.XLOOKUP(Tabla3[[#This Row],[Cliente]],'[1]Datos Contacto'!$A$2:$A$23,'[1]Datos Contacto'!$E$2:$E$23,0,0,1)</f>
        <v>0</v>
      </c>
    </row>
    <row r="760" spans="1:9" x14ac:dyDescent="0.25">
      <c r="A760" s="1">
        <v>1013627407</v>
      </c>
      <c r="B760" s="1" t="s">
        <v>775</v>
      </c>
      <c r="C760" s="1"/>
      <c r="D760" s="21" t="s">
        <v>1225</v>
      </c>
      <c r="E760" s="1" t="s">
        <v>9</v>
      </c>
      <c r="F760" s="1" t="s">
        <v>1226</v>
      </c>
      <c r="G760" s="1" t="s">
        <v>11</v>
      </c>
      <c r="H760" s="9">
        <f>_xlfn.XLOOKUP(Tabla3[[#This Row],[Nit]],Hoja2!A760:A2183,Hoja2!C760:C2183)</f>
        <v>1000000</v>
      </c>
      <c r="I760" s="1">
        <f>_xlfn.XLOOKUP(Tabla3[[#This Row],[Cliente]],'[1]Datos Contacto'!$A$2:$A$23,'[1]Datos Contacto'!$E$2:$E$23,0,0,1)</f>
        <v>0</v>
      </c>
    </row>
    <row r="761" spans="1:9" x14ac:dyDescent="0.25">
      <c r="A761" s="1">
        <v>391</v>
      </c>
      <c r="B761" s="1" t="s">
        <v>776</v>
      </c>
      <c r="C761" s="1"/>
      <c r="D761" s="21" t="s">
        <v>1225</v>
      </c>
      <c r="E761" s="1" t="s">
        <v>9</v>
      </c>
      <c r="F761" s="1" t="s">
        <v>1226</v>
      </c>
      <c r="G761" s="1" t="s">
        <v>11</v>
      </c>
      <c r="H761" s="9">
        <f>_xlfn.XLOOKUP(Tabla3[[#This Row],[Nit]],Hoja2!A761:A2184,Hoja2!C761:C2184)</f>
        <v>1000000</v>
      </c>
      <c r="I761" s="1">
        <f>_xlfn.XLOOKUP(Tabla3[[#This Row],[Cliente]],'[1]Datos Contacto'!$A$2:$A$23,'[1]Datos Contacto'!$E$2:$E$23,0,0,1)</f>
        <v>0</v>
      </c>
    </row>
    <row r="762" spans="1:9" x14ac:dyDescent="0.25">
      <c r="A762" s="1">
        <v>1074132066</v>
      </c>
      <c r="B762" s="1" t="s">
        <v>777</v>
      </c>
      <c r="C762" s="1"/>
      <c r="D762" s="21" t="s">
        <v>1225</v>
      </c>
      <c r="E762" s="1" t="s">
        <v>9</v>
      </c>
      <c r="F762" s="1" t="s">
        <v>1226</v>
      </c>
      <c r="G762" s="1" t="s">
        <v>11</v>
      </c>
      <c r="H762" s="9">
        <f>_xlfn.XLOOKUP(Tabla3[[#This Row],[Nit]],Hoja2!A762:A2185,Hoja2!C762:C2185)</f>
        <v>1000000</v>
      </c>
      <c r="I762" s="1">
        <f>_xlfn.XLOOKUP(Tabla3[[#This Row],[Cliente]],'[1]Datos Contacto'!$A$2:$A$23,'[1]Datos Contacto'!$E$2:$E$23,0,0,1)</f>
        <v>0</v>
      </c>
    </row>
    <row r="763" spans="1:9" x14ac:dyDescent="0.25">
      <c r="A763" s="1">
        <v>1001043295</v>
      </c>
      <c r="B763" s="1" t="s">
        <v>778</v>
      </c>
      <c r="C763" s="1"/>
      <c r="D763" s="21" t="s">
        <v>1225</v>
      </c>
      <c r="E763" s="1" t="s">
        <v>9</v>
      </c>
      <c r="F763" s="1" t="s">
        <v>1226</v>
      </c>
      <c r="G763" s="1" t="s">
        <v>11</v>
      </c>
      <c r="H763" s="9">
        <f>_xlfn.XLOOKUP(Tabla3[[#This Row],[Nit]],Hoja2!A763:A2186,Hoja2!C763:C2186)</f>
        <v>1000000</v>
      </c>
      <c r="I763" s="1">
        <f>_xlfn.XLOOKUP(Tabla3[[#This Row],[Cliente]],'[1]Datos Contacto'!$A$2:$A$23,'[1]Datos Contacto'!$E$2:$E$23,0,0,1)</f>
        <v>0</v>
      </c>
    </row>
    <row r="764" spans="1:9" x14ac:dyDescent="0.25">
      <c r="A764" s="1">
        <v>1026302000</v>
      </c>
      <c r="B764" s="1" t="s">
        <v>779</v>
      </c>
      <c r="C764" s="1"/>
      <c r="D764" s="21" t="s">
        <v>1225</v>
      </c>
      <c r="E764" s="1" t="s">
        <v>9</v>
      </c>
      <c r="F764" s="1" t="s">
        <v>1226</v>
      </c>
      <c r="G764" s="1" t="s">
        <v>11</v>
      </c>
      <c r="H764" s="9">
        <f>_xlfn.XLOOKUP(Tabla3[[#This Row],[Nit]],Hoja2!A764:A2187,Hoja2!C764:C2187)</f>
        <v>1000000</v>
      </c>
      <c r="I764" s="1">
        <f>_xlfn.XLOOKUP(Tabla3[[#This Row],[Cliente]],'[1]Datos Contacto'!$A$2:$A$23,'[1]Datos Contacto'!$E$2:$E$23,0,0,1)</f>
        <v>0</v>
      </c>
    </row>
    <row r="765" spans="1:9" x14ac:dyDescent="0.25">
      <c r="A765" s="1">
        <v>442</v>
      </c>
      <c r="B765" s="1" t="s">
        <v>780</v>
      </c>
      <c r="C765" s="1"/>
      <c r="D765" s="21" t="s">
        <v>1225</v>
      </c>
      <c r="E765" s="1" t="s">
        <v>9</v>
      </c>
      <c r="F765" s="1" t="s">
        <v>1226</v>
      </c>
      <c r="G765" s="1" t="s">
        <v>11</v>
      </c>
      <c r="H765" s="9">
        <f>_xlfn.XLOOKUP(Tabla3[[#This Row],[Nit]],Hoja2!A765:A2188,Hoja2!C765:C2188)</f>
        <v>1000000</v>
      </c>
      <c r="I765" s="1">
        <f>_xlfn.XLOOKUP(Tabla3[[#This Row],[Cliente]],'[1]Datos Contacto'!$A$2:$A$23,'[1]Datos Contacto'!$E$2:$E$23,0,0,1)</f>
        <v>0</v>
      </c>
    </row>
    <row r="766" spans="1:9" x14ac:dyDescent="0.25">
      <c r="A766" s="1">
        <v>1081730438</v>
      </c>
      <c r="B766" s="1" t="s">
        <v>781</v>
      </c>
      <c r="C766" s="1"/>
      <c r="D766" s="21" t="s">
        <v>1225</v>
      </c>
      <c r="E766" s="1" t="s">
        <v>9</v>
      </c>
      <c r="F766" s="1" t="s">
        <v>1226</v>
      </c>
      <c r="G766" s="1" t="s">
        <v>11</v>
      </c>
      <c r="H766" s="9">
        <f>_xlfn.XLOOKUP(Tabla3[[#This Row],[Nit]],Hoja2!A766:A2189,Hoja2!C766:C2189)</f>
        <v>1000000</v>
      </c>
      <c r="I766" s="1">
        <f>_xlfn.XLOOKUP(Tabla3[[#This Row],[Cliente]],'[1]Datos Contacto'!$A$2:$A$23,'[1]Datos Contacto'!$E$2:$E$23,0,0,1)</f>
        <v>0</v>
      </c>
    </row>
    <row r="767" spans="1:9" x14ac:dyDescent="0.25">
      <c r="A767" s="1">
        <v>1032490321</v>
      </c>
      <c r="B767" s="1" t="s">
        <v>782</v>
      </c>
      <c r="C767" s="1"/>
      <c r="D767" s="21" t="s">
        <v>1225</v>
      </c>
      <c r="E767" s="1" t="s">
        <v>9</v>
      </c>
      <c r="F767" s="1" t="s">
        <v>1226</v>
      </c>
      <c r="G767" s="1" t="s">
        <v>7</v>
      </c>
      <c r="H767" s="9">
        <f>_xlfn.XLOOKUP(Tabla3[[#This Row],[Nit]],Hoja2!A767:A2190,Hoja2!C767:C2190)</f>
        <v>1000000</v>
      </c>
      <c r="I767" s="1">
        <f>_xlfn.XLOOKUP(Tabla3[[#This Row],[Cliente]],'[1]Datos Contacto'!$A$2:$A$23,'[1]Datos Contacto'!$E$2:$E$23,0,0,1)</f>
        <v>0</v>
      </c>
    </row>
    <row r="768" spans="1:9" x14ac:dyDescent="0.25">
      <c r="A768" s="1">
        <v>1054679542</v>
      </c>
      <c r="B768" s="1" t="s">
        <v>783</v>
      </c>
      <c r="C768" s="1"/>
      <c r="D768" s="21" t="s">
        <v>1225</v>
      </c>
      <c r="E768" s="1" t="s">
        <v>9</v>
      </c>
      <c r="F768" s="1" t="s">
        <v>1226</v>
      </c>
      <c r="G768" s="1" t="s">
        <v>11</v>
      </c>
      <c r="H768" s="9">
        <f>_xlfn.XLOOKUP(Tabla3[[#This Row],[Nit]],Hoja2!A768:A2191,Hoja2!C768:C2191)</f>
        <v>1000000</v>
      </c>
      <c r="I768" s="1">
        <f>_xlfn.XLOOKUP(Tabla3[[#This Row],[Cliente]],'[1]Datos Contacto'!$A$2:$A$23,'[1]Datos Contacto'!$E$2:$E$23,0,0,1)</f>
        <v>0</v>
      </c>
    </row>
    <row r="769" spans="1:9" x14ac:dyDescent="0.25">
      <c r="A769" s="1">
        <v>60321586</v>
      </c>
      <c r="B769" s="1" t="s">
        <v>784</v>
      </c>
      <c r="C769" s="1"/>
      <c r="D769" s="21" t="s">
        <v>1225</v>
      </c>
      <c r="E769" s="1" t="s">
        <v>9</v>
      </c>
      <c r="F769" s="1" t="s">
        <v>1226</v>
      </c>
      <c r="G769" s="1" t="s">
        <v>7</v>
      </c>
      <c r="H769" s="9">
        <f>_xlfn.XLOOKUP(Tabla3[[#This Row],[Nit]],Hoja2!A769:A2192,Hoja2!C769:C2192)</f>
        <v>1000000</v>
      </c>
      <c r="I769" s="1">
        <f>_xlfn.XLOOKUP(Tabla3[[#This Row],[Cliente]],'[1]Datos Contacto'!$A$2:$A$23,'[1]Datos Contacto'!$E$2:$E$23,0,0,1)</f>
        <v>0</v>
      </c>
    </row>
    <row r="770" spans="1:9" x14ac:dyDescent="0.25">
      <c r="A770" s="4">
        <v>830094751</v>
      </c>
      <c r="B770" s="4" t="s">
        <v>785</v>
      </c>
      <c r="C770" s="4"/>
      <c r="D770" s="21" t="s">
        <v>1225</v>
      </c>
      <c r="E770" s="4" t="s">
        <v>79</v>
      </c>
      <c r="F770" s="1" t="s">
        <v>1226</v>
      </c>
      <c r="G770" s="1" t="s">
        <v>7</v>
      </c>
      <c r="H770" s="9">
        <f>_xlfn.XLOOKUP(Tabla3[[#This Row],[Nit]],Hoja2!A770:A2193,Hoja2!C770:C2193)</f>
        <v>50000000</v>
      </c>
      <c r="I770" s="1">
        <f>_xlfn.XLOOKUP(Tabla3[[#This Row],[Cliente]],'[1]Datos Contacto'!$A$2:$A$23,'[1]Datos Contacto'!$E$2:$E$23,0,0,1)</f>
        <v>0</v>
      </c>
    </row>
    <row r="771" spans="1:9" x14ac:dyDescent="0.25">
      <c r="A771" s="1"/>
      <c r="B771" s="1" t="s">
        <v>786</v>
      </c>
      <c r="C771" s="1"/>
      <c r="D771" s="21" t="s">
        <v>1225</v>
      </c>
      <c r="E771" s="1" t="s">
        <v>79</v>
      </c>
      <c r="F771" s="1" t="s">
        <v>1226</v>
      </c>
      <c r="G771" s="1" t="s">
        <v>7</v>
      </c>
      <c r="H771" s="9">
        <f>_xlfn.XLOOKUP(Tabla3[[#This Row],[Nit]],Hoja2!A771:A2194,Hoja2!C771:C2194)</f>
        <v>0</v>
      </c>
      <c r="I771" s="1">
        <f>_xlfn.XLOOKUP(Tabla3[[#This Row],[Cliente]],'[1]Datos Contacto'!$A$2:$A$23,'[1]Datos Contacto'!$E$2:$E$23,0,0,1)</f>
        <v>0</v>
      </c>
    </row>
    <row r="772" spans="1:9" x14ac:dyDescent="0.25">
      <c r="A772" s="1"/>
      <c r="B772" s="1" t="s">
        <v>787</v>
      </c>
      <c r="C772" s="1"/>
      <c r="D772" s="21" t="s">
        <v>1225</v>
      </c>
      <c r="E772" s="1" t="s">
        <v>79</v>
      </c>
      <c r="F772" s="1" t="s">
        <v>1226</v>
      </c>
      <c r="G772" s="1" t="s">
        <v>7</v>
      </c>
      <c r="H772" s="9">
        <f>_xlfn.XLOOKUP(Tabla3[[#This Row],[Nit]],Hoja2!A772:A2195,Hoja2!C772:C2195)</f>
        <v>0</v>
      </c>
      <c r="I772" s="1">
        <f>_xlfn.XLOOKUP(Tabla3[[#This Row],[Cliente]],'[1]Datos Contacto'!$A$2:$A$23,'[1]Datos Contacto'!$E$2:$E$23,0,0,1)</f>
        <v>0</v>
      </c>
    </row>
    <row r="773" spans="1:9" x14ac:dyDescent="0.25">
      <c r="A773" s="1"/>
      <c r="B773" s="1" t="s">
        <v>788</v>
      </c>
      <c r="C773" s="1"/>
      <c r="D773" s="21" t="s">
        <v>1225</v>
      </c>
      <c r="E773" s="1" t="s">
        <v>79</v>
      </c>
      <c r="F773" s="1" t="s">
        <v>1226</v>
      </c>
      <c r="G773" s="1" t="s">
        <v>7</v>
      </c>
      <c r="H773" s="9">
        <f>_xlfn.XLOOKUP(Tabla3[[#This Row],[Nit]],Hoja2!A773:A2196,Hoja2!C773:C2196)</f>
        <v>0</v>
      </c>
      <c r="I773" s="1">
        <f>_xlfn.XLOOKUP(Tabla3[[#This Row],[Cliente]],'[1]Datos Contacto'!$A$2:$A$23,'[1]Datos Contacto'!$E$2:$E$23,0,0,1)</f>
        <v>0</v>
      </c>
    </row>
    <row r="774" spans="1:9" x14ac:dyDescent="0.25">
      <c r="A774" s="1"/>
      <c r="B774" s="2" t="s">
        <v>789</v>
      </c>
      <c r="C774" s="1"/>
      <c r="D774" s="21" t="s">
        <v>1225</v>
      </c>
      <c r="E774" s="1" t="s">
        <v>79</v>
      </c>
      <c r="F774" s="1" t="s">
        <v>1226</v>
      </c>
      <c r="G774" s="1" t="s">
        <v>7</v>
      </c>
      <c r="H774" s="9">
        <f>_xlfn.XLOOKUP(Tabla3[[#This Row],[Nit]],Hoja2!A774:A2197,Hoja2!C774:C2197)</f>
        <v>0</v>
      </c>
      <c r="I774" s="1">
        <f>_xlfn.XLOOKUP(Tabla3[[#This Row],[Cliente]],'[1]Datos Contacto'!$A$2:$A$23,'[1]Datos Contacto'!$E$2:$E$23,0,0,1)</f>
        <v>0</v>
      </c>
    </row>
    <row r="775" spans="1:9" x14ac:dyDescent="0.25">
      <c r="A775" s="1"/>
      <c r="B775" s="1" t="s">
        <v>790</v>
      </c>
      <c r="C775" s="1"/>
      <c r="D775" s="21" t="s">
        <v>1225</v>
      </c>
      <c r="E775" s="1" t="s">
        <v>9</v>
      </c>
      <c r="F775" s="1" t="s">
        <v>1226</v>
      </c>
      <c r="G775" s="1" t="s">
        <v>11</v>
      </c>
      <c r="H775" s="9">
        <f>_xlfn.XLOOKUP(Tabla3[[#This Row],[Nit]],Hoja2!A775:A2198,Hoja2!C775:C2198)</f>
        <v>0</v>
      </c>
      <c r="I775" s="1">
        <f>_xlfn.XLOOKUP(Tabla3[[#This Row],[Cliente]],'[1]Datos Contacto'!$A$2:$A$23,'[1]Datos Contacto'!$E$2:$E$23,0,0,1)</f>
        <v>0</v>
      </c>
    </row>
    <row r="776" spans="1:9" x14ac:dyDescent="0.25">
      <c r="A776" s="1"/>
      <c r="B776" s="2" t="s">
        <v>791</v>
      </c>
      <c r="C776" s="1"/>
      <c r="D776" s="21" t="s">
        <v>1225</v>
      </c>
      <c r="E776" s="1" t="s">
        <v>79</v>
      </c>
      <c r="F776" s="1" t="s">
        <v>1226</v>
      </c>
      <c r="G776" s="1" t="s">
        <v>7</v>
      </c>
      <c r="H776" s="9">
        <f>_xlfn.XLOOKUP(Tabla3[[#This Row],[Nit]],Hoja2!A776:A2199,Hoja2!C776:C2199)</f>
        <v>0</v>
      </c>
      <c r="I776" s="1">
        <f>_xlfn.XLOOKUP(Tabla3[[#This Row],[Cliente]],'[1]Datos Contacto'!$A$2:$A$23,'[1]Datos Contacto'!$E$2:$E$23,0,0,1)</f>
        <v>0</v>
      </c>
    </row>
    <row r="777" spans="1:9" x14ac:dyDescent="0.25">
      <c r="A777" s="1"/>
      <c r="B777" s="1" t="s">
        <v>792</v>
      </c>
      <c r="C777" s="1"/>
      <c r="D777" s="21" t="s">
        <v>1225</v>
      </c>
      <c r="E777" s="1" t="s">
        <v>79</v>
      </c>
      <c r="F777" s="1" t="s">
        <v>1226</v>
      </c>
      <c r="G777" s="1" t="s">
        <v>7</v>
      </c>
      <c r="H777" s="9">
        <f>_xlfn.XLOOKUP(Tabla3[[#This Row],[Nit]],Hoja2!A777:A2200,Hoja2!C777:C2200)</f>
        <v>0</v>
      </c>
      <c r="I777" s="1">
        <f>_xlfn.XLOOKUP(Tabla3[[#This Row],[Cliente]],'[1]Datos Contacto'!$A$2:$A$23,'[1]Datos Contacto'!$E$2:$E$23,0,0,1)</f>
        <v>0</v>
      </c>
    </row>
    <row r="778" spans="1:9" x14ac:dyDescent="0.25">
      <c r="A778" s="1"/>
      <c r="B778" s="1" t="s">
        <v>788</v>
      </c>
      <c r="C778" s="1"/>
      <c r="D778" s="21" t="s">
        <v>1225</v>
      </c>
      <c r="E778" s="1" t="s">
        <v>79</v>
      </c>
      <c r="F778" s="1" t="s">
        <v>1226</v>
      </c>
      <c r="G778" s="1" t="s">
        <v>7</v>
      </c>
      <c r="H778" s="9">
        <f>_xlfn.XLOOKUP(Tabla3[[#This Row],[Nit]],Hoja2!A778:A2201,Hoja2!C778:C2201)</f>
        <v>0</v>
      </c>
      <c r="I778" s="1">
        <f>_xlfn.XLOOKUP(Tabla3[[#This Row],[Cliente]],'[1]Datos Contacto'!$A$2:$A$23,'[1]Datos Contacto'!$E$2:$E$23,0,0,1)</f>
        <v>0</v>
      </c>
    </row>
    <row r="779" spans="1:9" x14ac:dyDescent="0.25">
      <c r="A779" s="1"/>
      <c r="B779" s="2" t="s">
        <v>793</v>
      </c>
      <c r="C779" s="1"/>
      <c r="D779" s="21" t="s">
        <v>1225</v>
      </c>
      <c r="E779" s="1" t="s">
        <v>79</v>
      </c>
      <c r="F779" s="1" t="s">
        <v>1226</v>
      </c>
      <c r="G779" s="1" t="s">
        <v>7</v>
      </c>
      <c r="H779" s="9">
        <f>_xlfn.XLOOKUP(Tabla3[[#This Row],[Nit]],Hoja2!A779:A2202,Hoja2!C779:C2202)</f>
        <v>0</v>
      </c>
      <c r="I779" s="1">
        <f>_xlfn.XLOOKUP(Tabla3[[#This Row],[Cliente]],'[1]Datos Contacto'!$A$2:$A$23,'[1]Datos Contacto'!$E$2:$E$23,0,0,1)</f>
        <v>0</v>
      </c>
    </row>
    <row r="780" spans="1:9" x14ac:dyDescent="0.25">
      <c r="A780" s="1"/>
      <c r="B780" s="2" t="s">
        <v>794</v>
      </c>
      <c r="C780" s="1"/>
      <c r="D780" s="21" t="s">
        <v>1225</v>
      </c>
      <c r="E780" s="1" t="s">
        <v>79</v>
      </c>
      <c r="F780" s="1" t="s">
        <v>1226</v>
      </c>
      <c r="G780" s="1" t="s">
        <v>7</v>
      </c>
      <c r="H780" s="9">
        <f>_xlfn.XLOOKUP(Tabla3[[#This Row],[Nit]],Hoja2!A780:A2203,Hoja2!C780:C2203)</f>
        <v>0</v>
      </c>
      <c r="I780" s="1">
        <f>_xlfn.XLOOKUP(Tabla3[[#This Row],[Cliente]],'[1]Datos Contacto'!$A$2:$A$23,'[1]Datos Contacto'!$E$2:$E$23,0,0,1)</f>
        <v>0</v>
      </c>
    </row>
    <row r="781" spans="1:9" x14ac:dyDescent="0.25">
      <c r="A781" s="1"/>
      <c r="B781" s="2" t="s">
        <v>795</v>
      </c>
      <c r="C781" s="1"/>
      <c r="D781" s="21" t="s">
        <v>1225</v>
      </c>
      <c r="E781" s="1" t="s">
        <v>79</v>
      </c>
      <c r="F781" s="1" t="s">
        <v>1226</v>
      </c>
      <c r="G781" s="1" t="s">
        <v>7</v>
      </c>
      <c r="H781" s="9">
        <f>_xlfn.XLOOKUP(Tabla3[[#This Row],[Nit]],Hoja2!A781:A2204,Hoja2!C781:C2204)</f>
        <v>0</v>
      </c>
      <c r="I781" s="1">
        <f>_xlfn.XLOOKUP(Tabla3[[#This Row],[Cliente]],'[1]Datos Contacto'!$A$2:$A$23,'[1]Datos Contacto'!$E$2:$E$23,0,0,1)</f>
        <v>0</v>
      </c>
    </row>
    <row r="782" spans="1:9" x14ac:dyDescent="0.25">
      <c r="A782" s="1"/>
      <c r="B782" s="1" t="s">
        <v>796</v>
      </c>
      <c r="C782" s="1"/>
      <c r="D782" s="21" t="s">
        <v>1225</v>
      </c>
      <c r="E782" s="1" t="s">
        <v>9</v>
      </c>
      <c r="F782" s="1" t="s">
        <v>1226</v>
      </c>
      <c r="G782" s="1" t="s">
        <v>36</v>
      </c>
      <c r="H782" s="9">
        <f>_xlfn.XLOOKUP(Tabla3[[#This Row],[Nit]],Hoja2!A782:A2205,Hoja2!C782:C2205)</f>
        <v>0</v>
      </c>
      <c r="I782" s="1">
        <f>_xlfn.XLOOKUP(Tabla3[[#This Row],[Cliente]],'[1]Datos Contacto'!$A$2:$A$23,'[1]Datos Contacto'!$E$2:$E$23,0,0,1)</f>
        <v>0</v>
      </c>
    </row>
    <row r="783" spans="1:9" x14ac:dyDescent="0.25">
      <c r="A783" s="1"/>
      <c r="B783" s="1" t="s">
        <v>797</v>
      </c>
      <c r="C783" s="1"/>
      <c r="D783" s="21" t="s">
        <v>1225</v>
      </c>
      <c r="E783" s="1" t="s">
        <v>79</v>
      </c>
      <c r="F783" s="1" t="s">
        <v>1226</v>
      </c>
      <c r="G783" s="1" t="s">
        <v>7</v>
      </c>
      <c r="H783" s="9">
        <f>_xlfn.XLOOKUP(Tabla3[[#This Row],[Nit]],Hoja2!A783:A2206,Hoja2!C783:C2206)</f>
        <v>0</v>
      </c>
      <c r="I783" s="1">
        <f>_xlfn.XLOOKUP(Tabla3[[#This Row],[Cliente]],'[1]Datos Contacto'!$A$2:$A$23,'[1]Datos Contacto'!$E$2:$E$23,0,0,1)</f>
        <v>0</v>
      </c>
    </row>
    <row r="784" spans="1:9" x14ac:dyDescent="0.25">
      <c r="A784" s="1"/>
      <c r="B784" s="2" t="s">
        <v>798</v>
      </c>
      <c r="C784" s="1"/>
      <c r="D784" s="21" t="s">
        <v>1225</v>
      </c>
      <c r="E784" s="1" t="s">
        <v>79</v>
      </c>
      <c r="F784" s="1" t="s">
        <v>1226</v>
      </c>
      <c r="G784" s="1" t="s">
        <v>11</v>
      </c>
      <c r="H784" s="9">
        <f>_xlfn.XLOOKUP(Tabla3[[#This Row],[Nit]],Hoja2!A784:A2207,Hoja2!C784:C2207)</f>
        <v>0</v>
      </c>
      <c r="I784" s="1" t="str">
        <f>_xlfn.XLOOKUP(Tabla3[[#This Row],[Cliente]],'[1]Datos Contacto'!$A$2:$A$23,'[1]Datos Contacto'!$E$2:$E$23,0,0,1)</f>
        <v>facturacion@robinfood.com</v>
      </c>
    </row>
    <row r="785" spans="1:9" x14ac:dyDescent="0.25">
      <c r="A785" s="1">
        <v>901676975</v>
      </c>
      <c r="B785" s="1" t="s">
        <v>799</v>
      </c>
      <c r="C785" s="1"/>
      <c r="D785" s="21" t="s">
        <v>1225</v>
      </c>
      <c r="E785" s="1" t="s">
        <v>6</v>
      </c>
      <c r="F785" s="1" t="s">
        <v>1226</v>
      </c>
      <c r="G785" s="1" t="s">
        <v>7</v>
      </c>
      <c r="H785" s="9">
        <f>_xlfn.XLOOKUP(Tabla3[[#This Row],[Nit]],Hoja2!A785:A2208,Hoja2!C785:C2208)</f>
        <v>20000000</v>
      </c>
      <c r="I785" s="1">
        <f>_xlfn.XLOOKUP(Tabla3[[#This Row],[Cliente]],'[1]Datos Contacto'!$A$2:$A$23,'[1]Datos Contacto'!$E$2:$E$23,0,0,1)</f>
        <v>0</v>
      </c>
    </row>
    <row r="786" spans="1:9" x14ac:dyDescent="0.25">
      <c r="A786" s="1"/>
      <c r="B786" s="5" t="s">
        <v>800</v>
      </c>
      <c r="C786" s="6"/>
      <c r="D786" s="21" t="s">
        <v>1225</v>
      </c>
      <c r="E786" s="1" t="s">
        <v>79</v>
      </c>
      <c r="F786" s="1" t="s">
        <v>1226</v>
      </c>
      <c r="G786" s="1" t="s">
        <v>7</v>
      </c>
      <c r="H786" s="9">
        <f>_xlfn.XLOOKUP(Tabla3[[#This Row],[Nit]],Hoja2!A786:A2209,Hoja2!C786:C2209)</f>
        <v>0</v>
      </c>
      <c r="I786" s="1" t="str">
        <f>_xlfn.XLOOKUP(Tabla3[[#This Row],[Cliente]],'[1]Datos Contacto'!$A$2:$A$23,'[1]Datos Contacto'!$E$2:$E$23,0,0,1)</f>
        <v>recepcionfacturas@duflosas.com</v>
      </c>
    </row>
    <row r="787" spans="1:9" x14ac:dyDescent="0.25">
      <c r="A787" s="1"/>
      <c r="B787" s="1" t="s">
        <v>801</v>
      </c>
      <c r="C787" s="1"/>
      <c r="D787" s="21" t="s">
        <v>1225</v>
      </c>
      <c r="E787" s="1" t="s">
        <v>79</v>
      </c>
      <c r="F787" s="1" t="s">
        <v>1226</v>
      </c>
      <c r="G787" s="1" t="s">
        <v>7</v>
      </c>
      <c r="H787" s="9">
        <f>_xlfn.XLOOKUP(Tabla3[[#This Row],[Nit]],Hoja2!A787:A2210,Hoja2!C787:C2210)</f>
        <v>0</v>
      </c>
      <c r="I787" s="1">
        <f>_xlfn.XLOOKUP(Tabla3[[#This Row],[Cliente]],'[1]Datos Contacto'!$A$2:$A$23,'[1]Datos Contacto'!$E$2:$E$23,0,0,1)</f>
        <v>0</v>
      </c>
    </row>
    <row r="788" spans="1:9" x14ac:dyDescent="0.25">
      <c r="A788" s="1"/>
      <c r="B788" s="1" t="s">
        <v>802</v>
      </c>
      <c r="C788" s="1"/>
      <c r="D788" s="21" t="s">
        <v>1225</v>
      </c>
      <c r="E788" s="1" t="s">
        <v>6</v>
      </c>
      <c r="F788" s="1" t="s">
        <v>1226</v>
      </c>
      <c r="G788" s="1" t="s">
        <v>7</v>
      </c>
      <c r="H788" s="9">
        <f>_xlfn.XLOOKUP(Tabla3[[#This Row],[Nit]],Hoja2!A788:A2211,Hoja2!C788:C2211)</f>
        <v>0</v>
      </c>
      <c r="I788" s="1">
        <f>_xlfn.XLOOKUP(Tabla3[[#This Row],[Cliente]],'[1]Datos Contacto'!$A$2:$A$23,'[1]Datos Contacto'!$E$2:$E$23,0,0,1)</f>
        <v>0</v>
      </c>
    </row>
    <row r="789" spans="1:9" x14ac:dyDescent="0.25">
      <c r="A789" s="1"/>
      <c r="B789" s="1" t="s">
        <v>803</v>
      </c>
      <c r="C789" s="1"/>
      <c r="D789" s="21" t="s">
        <v>1225</v>
      </c>
      <c r="E789" s="1" t="s">
        <v>9</v>
      </c>
      <c r="F789" s="1" t="s">
        <v>1226</v>
      </c>
      <c r="G789" s="1" t="s">
        <v>11</v>
      </c>
      <c r="H789" s="9">
        <f>_xlfn.XLOOKUP(Tabla3[[#This Row],[Nit]],Hoja2!A789:A2212,Hoja2!C789:C2212)</f>
        <v>0</v>
      </c>
      <c r="I789" s="1">
        <f>_xlfn.XLOOKUP(Tabla3[[#This Row],[Cliente]],'[1]Datos Contacto'!$A$2:$A$23,'[1]Datos Contacto'!$E$2:$E$23,0,0,1)</f>
        <v>0</v>
      </c>
    </row>
    <row r="790" spans="1:9" x14ac:dyDescent="0.25">
      <c r="A790" s="1"/>
      <c r="B790" s="2" t="s">
        <v>804</v>
      </c>
      <c r="C790" s="1"/>
      <c r="D790" s="21" t="s">
        <v>1225</v>
      </c>
      <c r="E790" s="1" t="s">
        <v>79</v>
      </c>
      <c r="F790" s="1" t="s">
        <v>1226</v>
      </c>
      <c r="G790" s="1" t="s">
        <v>7</v>
      </c>
      <c r="H790" s="9">
        <f>_xlfn.XLOOKUP(Tabla3[[#This Row],[Nit]],Hoja2!A790:A2213,Hoja2!C790:C2213)</f>
        <v>0</v>
      </c>
      <c r="I790" s="1">
        <f>_xlfn.XLOOKUP(Tabla3[[#This Row],[Cliente]],'[1]Datos Contacto'!$A$2:$A$23,'[1]Datos Contacto'!$E$2:$E$23,0,0,1)</f>
        <v>0</v>
      </c>
    </row>
    <row r="791" spans="1:9" x14ac:dyDescent="0.25">
      <c r="A791" s="1"/>
      <c r="B791" s="1" t="s">
        <v>805</v>
      </c>
      <c r="C791" s="1"/>
      <c r="D791" s="21" t="s">
        <v>1225</v>
      </c>
      <c r="E791" s="1" t="s">
        <v>79</v>
      </c>
      <c r="F791" s="1" t="s">
        <v>1226</v>
      </c>
      <c r="G791" s="1" t="s">
        <v>7</v>
      </c>
      <c r="H791" s="9">
        <f>_xlfn.XLOOKUP(Tabla3[[#This Row],[Nit]],Hoja2!A791:A2214,Hoja2!C791:C2214)</f>
        <v>0</v>
      </c>
      <c r="I791" s="1">
        <f>_xlfn.XLOOKUP(Tabla3[[#This Row],[Cliente]],'[1]Datos Contacto'!$A$2:$A$23,'[1]Datos Contacto'!$E$2:$E$23,0,0,1)</f>
        <v>0</v>
      </c>
    </row>
    <row r="792" spans="1:9" x14ac:dyDescent="0.25">
      <c r="A792" s="1"/>
      <c r="B792" s="2" t="s">
        <v>806</v>
      </c>
      <c r="C792" s="1"/>
      <c r="D792" s="21" t="s">
        <v>1225</v>
      </c>
      <c r="E792" s="1" t="s">
        <v>79</v>
      </c>
      <c r="F792" s="1" t="s">
        <v>1226</v>
      </c>
      <c r="G792" s="1" t="s">
        <v>11</v>
      </c>
      <c r="H792" s="9">
        <f>_xlfn.XLOOKUP(Tabla3[[#This Row],[Nit]],Hoja2!A792:A2215,Hoja2!C792:C2215)</f>
        <v>0</v>
      </c>
      <c r="I792" s="1">
        <f>_xlfn.XLOOKUP(Tabla3[[#This Row],[Cliente]],'[1]Datos Contacto'!$A$2:$A$23,'[1]Datos Contacto'!$E$2:$E$23,0,0,1)</f>
        <v>0</v>
      </c>
    </row>
    <row r="793" spans="1:9" x14ac:dyDescent="0.25">
      <c r="A793" s="1"/>
      <c r="B793" s="1" t="s">
        <v>807</v>
      </c>
      <c r="C793" s="1"/>
      <c r="D793" s="21" t="s">
        <v>1225</v>
      </c>
      <c r="E793" s="1" t="s">
        <v>6</v>
      </c>
      <c r="F793" s="1" t="s">
        <v>1226</v>
      </c>
      <c r="G793" s="1" t="s">
        <v>7</v>
      </c>
      <c r="H793" s="9">
        <f>_xlfn.XLOOKUP(Tabla3[[#This Row],[Nit]],Hoja2!A793:A2216,Hoja2!C793:C2216)</f>
        <v>0</v>
      </c>
      <c r="I793" s="1">
        <f>_xlfn.XLOOKUP(Tabla3[[#This Row],[Cliente]],'[1]Datos Contacto'!$A$2:$A$23,'[1]Datos Contacto'!$E$2:$E$23,0,0,1)</f>
        <v>0</v>
      </c>
    </row>
    <row r="794" spans="1:9" x14ac:dyDescent="0.25">
      <c r="A794" s="1"/>
      <c r="B794" s="1" t="s">
        <v>808</v>
      </c>
      <c r="C794" s="1"/>
      <c r="D794" s="21" t="s">
        <v>1225</v>
      </c>
      <c r="E794" s="1" t="s">
        <v>6</v>
      </c>
      <c r="F794" s="1" t="s">
        <v>1226</v>
      </c>
      <c r="G794" s="1" t="s">
        <v>7</v>
      </c>
      <c r="H794" s="9">
        <f>_xlfn.XLOOKUP(Tabla3[[#This Row],[Nit]],Hoja2!A794:A2217,Hoja2!C794:C2217)</f>
        <v>0</v>
      </c>
      <c r="I794" s="1">
        <f>_xlfn.XLOOKUP(Tabla3[[#This Row],[Cliente]],'[1]Datos Contacto'!$A$2:$A$23,'[1]Datos Contacto'!$E$2:$E$23,0,0,1)</f>
        <v>0</v>
      </c>
    </row>
    <row r="795" spans="1:9" x14ac:dyDescent="0.25">
      <c r="A795" s="1"/>
      <c r="B795" s="1" t="s">
        <v>809</v>
      </c>
      <c r="C795" s="1"/>
      <c r="D795" s="21" t="s">
        <v>1225</v>
      </c>
      <c r="E795" s="1" t="s">
        <v>6</v>
      </c>
      <c r="F795" s="1" t="s">
        <v>1226</v>
      </c>
      <c r="G795" s="1" t="s">
        <v>7</v>
      </c>
      <c r="H795" s="9">
        <f>_xlfn.XLOOKUP(Tabla3[[#This Row],[Nit]],Hoja2!A795:A2218,Hoja2!C795:C2218)</f>
        <v>0</v>
      </c>
      <c r="I795" s="1">
        <f>_xlfn.XLOOKUP(Tabla3[[#This Row],[Cliente]],'[1]Datos Contacto'!$A$2:$A$23,'[1]Datos Contacto'!$E$2:$E$23,0,0,1)</f>
        <v>0</v>
      </c>
    </row>
    <row r="796" spans="1:9" x14ac:dyDescent="0.25">
      <c r="A796" s="1"/>
      <c r="B796" s="1" t="s">
        <v>810</v>
      </c>
      <c r="C796" s="1"/>
      <c r="D796" s="21" t="s">
        <v>1225</v>
      </c>
      <c r="E796" s="1" t="s">
        <v>6</v>
      </c>
      <c r="F796" s="1" t="s">
        <v>1226</v>
      </c>
      <c r="G796" s="1" t="s">
        <v>7</v>
      </c>
      <c r="H796" s="9">
        <f>_xlfn.XLOOKUP(Tabla3[[#This Row],[Nit]],Hoja2!A796:A2219,Hoja2!C796:C2219)</f>
        <v>0</v>
      </c>
      <c r="I796" s="1" t="str">
        <f>_xlfn.XLOOKUP(Tabla3[[#This Row],[Cliente]],'[1]Datos Contacto'!$A$2:$A$23,'[1]Datos Contacto'!$E$2:$E$23,0,0,1)</f>
        <v>contabilidad.santopiquete@gmail.com</v>
      </c>
    </row>
    <row r="797" spans="1:9" x14ac:dyDescent="0.25">
      <c r="A797" s="1"/>
      <c r="B797" s="1" t="s">
        <v>811</v>
      </c>
      <c r="C797" s="1"/>
      <c r="D797" s="21" t="s">
        <v>1225</v>
      </c>
      <c r="E797" s="1" t="s">
        <v>79</v>
      </c>
      <c r="F797" s="1" t="s">
        <v>1226</v>
      </c>
      <c r="G797" s="1" t="s">
        <v>7</v>
      </c>
      <c r="H797" s="9">
        <f>_xlfn.XLOOKUP(Tabla3[[#This Row],[Nit]],Hoja2!A797:A2220,Hoja2!C797:C2220)</f>
        <v>0</v>
      </c>
      <c r="I797" s="1">
        <f>_xlfn.XLOOKUP(Tabla3[[#This Row],[Cliente]],'[1]Datos Contacto'!$A$2:$A$23,'[1]Datos Contacto'!$E$2:$E$23,0,0,1)</f>
        <v>0</v>
      </c>
    </row>
    <row r="798" spans="1:9" x14ac:dyDescent="0.25">
      <c r="A798" s="1"/>
      <c r="B798" s="1" t="s">
        <v>812</v>
      </c>
      <c r="C798" s="1"/>
      <c r="D798" s="21" t="s">
        <v>1225</v>
      </c>
      <c r="E798" s="1" t="s">
        <v>79</v>
      </c>
      <c r="F798" s="1" t="s">
        <v>1226</v>
      </c>
      <c r="G798" s="1" t="s">
        <v>7</v>
      </c>
      <c r="H798" s="9">
        <f>_xlfn.XLOOKUP(Tabla3[[#This Row],[Nit]],Hoja2!A798:A2221,Hoja2!C798:C2221)</f>
        <v>0</v>
      </c>
      <c r="I798" s="1">
        <f>_xlfn.XLOOKUP(Tabla3[[#This Row],[Cliente]],'[1]Datos Contacto'!$A$2:$A$23,'[1]Datos Contacto'!$E$2:$E$23,0,0,1)</f>
        <v>0</v>
      </c>
    </row>
    <row r="799" spans="1:9" x14ac:dyDescent="0.25">
      <c r="A799" s="1"/>
      <c r="B799" s="1" t="s">
        <v>813</v>
      </c>
      <c r="C799" s="1"/>
      <c r="D799" s="21" t="s">
        <v>1225</v>
      </c>
      <c r="E799" s="1" t="s">
        <v>79</v>
      </c>
      <c r="F799" s="1" t="s">
        <v>1226</v>
      </c>
      <c r="G799" s="1" t="s">
        <v>7</v>
      </c>
      <c r="H799" s="9">
        <f>_xlfn.XLOOKUP(Tabla3[[#This Row],[Nit]],Hoja2!A799:A2222,Hoja2!C799:C2222)</f>
        <v>0</v>
      </c>
      <c r="I799" s="1">
        <f>_xlfn.XLOOKUP(Tabla3[[#This Row],[Cliente]],'[1]Datos Contacto'!$A$2:$A$23,'[1]Datos Contacto'!$E$2:$E$23,0,0,1)</f>
        <v>0</v>
      </c>
    </row>
    <row r="800" spans="1:9" x14ac:dyDescent="0.25">
      <c r="A800" s="1"/>
      <c r="B800" s="1" t="s">
        <v>203</v>
      </c>
      <c r="C800" s="1"/>
      <c r="D800" s="21" t="s">
        <v>1225</v>
      </c>
      <c r="E800" s="1" t="s">
        <v>79</v>
      </c>
      <c r="F800" s="1" t="s">
        <v>1226</v>
      </c>
      <c r="G800" s="1" t="s">
        <v>11</v>
      </c>
      <c r="H800" s="9">
        <f>_xlfn.XLOOKUP(Tabla3[[#This Row],[Nit]],Hoja2!A800:A2223,Hoja2!C800:C2223)</f>
        <v>0</v>
      </c>
      <c r="I800" s="1">
        <f>_xlfn.XLOOKUP(Tabla3[[#This Row],[Cliente]],'[1]Datos Contacto'!$A$2:$A$23,'[1]Datos Contacto'!$E$2:$E$23,0,0,1)</f>
        <v>0</v>
      </c>
    </row>
    <row r="801" spans="1:9" x14ac:dyDescent="0.25">
      <c r="A801" s="1"/>
      <c r="B801" s="1" t="s">
        <v>814</v>
      </c>
      <c r="C801" s="1"/>
      <c r="D801" s="21" t="s">
        <v>1225</v>
      </c>
      <c r="E801" s="1" t="s">
        <v>79</v>
      </c>
      <c r="F801" s="1" t="s">
        <v>1226</v>
      </c>
      <c r="G801" s="1" t="s">
        <v>7</v>
      </c>
      <c r="H801" s="9">
        <f>_xlfn.XLOOKUP(Tabla3[[#This Row],[Nit]],Hoja2!A801:A2224,Hoja2!C801:C2224)</f>
        <v>0</v>
      </c>
      <c r="I801" s="1">
        <f>_xlfn.XLOOKUP(Tabla3[[#This Row],[Cliente]],'[1]Datos Contacto'!$A$2:$A$23,'[1]Datos Contacto'!$E$2:$E$23,0,0,1)</f>
        <v>0</v>
      </c>
    </row>
    <row r="802" spans="1:9" x14ac:dyDescent="0.25">
      <c r="A802" s="1"/>
      <c r="B802" s="1" t="s">
        <v>815</v>
      </c>
      <c r="C802" s="1"/>
      <c r="D802" s="21" t="s">
        <v>1225</v>
      </c>
      <c r="E802" s="1" t="s">
        <v>79</v>
      </c>
      <c r="F802" s="1" t="s">
        <v>1226</v>
      </c>
      <c r="G802" s="1" t="s">
        <v>7</v>
      </c>
      <c r="H802" s="9">
        <f>_xlfn.XLOOKUP(Tabla3[[#This Row],[Nit]],Hoja2!A802:A2225,Hoja2!C802:C2225)</f>
        <v>0</v>
      </c>
      <c r="I802" s="1">
        <f>_xlfn.XLOOKUP(Tabla3[[#This Row],[Cliente]],'[1]Datos Contacto'!$A$2:$A$23,'[1]Datos Contacto'!$E$2:$E$23,0,0,1)</f>
        <v>0</v>
      </c>
    </row>
    <row r="803" spans="1:9" x14ac:dyDescent="0.25">
      <c r="A803" s="1"/>
      <c r="B803" s="1" t="s">
        <v>816</v>
      </c>
      <c r="C803" s="1"/>
      <c r="D803" s="21" t="s">
        <v>1225</v>
      </c>
      <c r="E803" s="1" t="s">
        <v>79</v>
      </c>
      <c r="F803" s="1" t="s">
        <v>1226</v>
      </c>
      <c r="G803" s="1" t="s">
        <v>7</v>
      </c>
      <c r="H803" s="9">
        <f>_xlfn.XLOOKUP(Tabla3[[#This Row],[Nit]],Hoja2!A803:A2226,Hoja2!C803:C2226)</f>
        <v>0</v>
      </c>
      <c r="I803" s="1">
        <f>_xlfn.XLOOKUP(Tabla3[[#This Row],[Cliente]],'[1]Datos Contacto'!$A$2:$A$23,'[1]Datos Contacto'!$E$2:$E$23,0,0,1)</f>
        <v>0</v>
      </c>
    </row>
    <row r="804" spans="1:9" x14ac:dyDescent="0.25">
      <c r="A804" s="1"/>
      <c r="B804" s="1" t="s">
        <v>817</v>
      </c>
      <c r="C804" s="1"/>
      <c r="D804" s="21" t="s">
        <v>1225</v>
      </c>
      <c r="E804" s="1" t="s">
        <v>79</v>
      </c>
      <c r="F804" s="1" t="s">
        <v>1226</v>
      </c>
      <c r="G804" s="1" t="s">
        <v>7</v>
      </c>
      <c r="H804" s="9">
        <f>_xlfn.XLOOKUP(Tabla3[[#This Row],[Nit]],Hoja2!A804:A2227,Hoja2!C804:C2227)</f>
        <v>0</v>
      </c>
      <c r="I804" s="1">
        <f>_xlfn.XLOOKUP(Tabla3[[#This Row],[Cliente]],'[1]Datos Contacto'!$A$2:$A$23,'[1]Datos Contacto'!$E$2:$E$23,0,0,1)</f>
        <v>0</v>
      </c>
    </row>
    <row r="805" spans="1:9" x14ac:dyDescent="0.25">
      <c r="A805" s="1"/>
      <c r="B805" s="2" t="s">
        <v>818</v>
      </c>
      <c r="C805" s="1"/>
      <c r="D805" s="21" t="s">
        <v>1225</v>
      </c>
      <c r="E805" s="1" t="s">
        <v>79</v>
      </c>
      <c r="F805" s="1" t="s">
        <v>1226</v>
      </c>
      <c r="G805" s="1" t="s">
        <v>7</v>
      </c>
      <c r="H805" s="9">
        <f>_xlfn.XLOOKUP(Tabla3[[#This Row],[Nit]],Hoja2!A805:A2228,Hoja2!C805:C2228)</f>
        <v>0</v>
      </c>
      <c r="I805" s="1">
        <f>_xlfn.XLOOKUP(Tabla3[[#This Row],[Cliente]],'[1]Datos Contacto'!$A$2:$A$23,'[1]Datos Contacto'!$E$2:$E$23,0,0,1)</f>
        <v>0</v>
      </c>
    </row>
    <row r="806" spans="1:9" x14ac:dyDescent="0.25">
      <c r="A806" s="1"/>
      <c r="B806" s="7" t="s">
        <v>819</v>
      </c>
      <c r="C806" s="3"/>
      <c r="D806" s="21" t="s">
        <v>1225</v>
      </c>
      <c r="E806" s="3" t="s">
        <v>79</v>
      </c>
      <c r="F806" s="1" t="s">
        <v>1226</v>
      </c>
      <c r="G806" s="1" t="s">
        <v>7</v>
      </c>
      <c r="H806" s="9">
        <f>_xlfn.XLOOKUP(Tabla3[[#This Row],[Nit]],Hoja2!A806:A2229,Hoja2!C806:C2229)</f>
        <v>0</v>
      </c>
      <c r="I806" s="1">
        <f>_xlfn.XLOOKUP(Tabla3[[#This Row],[Cliente]],'[1]Datos Contacto'!$A$2:$A$23,'[1]Datos Contacto'!$E$2:$E$23,0,0,1)</f>
        <v>0</v>
      </c>
    </row>
    <row r="807" spans="1:9" x14ac:dyDescent="0.25">
      <c r="A807" s="1"/>
      <c r="B807" s="7" t="s">
        <v>820</v>
      </c>
      <c r="C807" s="3"/>
      <c r="D807" s="21" t="s">
        <v>1225</v>
      </c>
      <c r="E807" s="3" t="s">
        <v>79</v>
      </c>
      <c r="F807" s="1" t="s">
        <v>1226</v>
      </c>
      <c r="G807" s="1" t="s">
        <v>7</v>
      </c>
      <c r="H807" s="9">
        <f>_xlfn.XLOOKUP(Tabla3[[#This Row],[Nit]],Hoja2!A807:A2230,Hoja2!C807:C2230)</f>
        <v>0</v>
      </c>
      <c r="I807" s="1">
        <f>_xlfn.XLOOKUP(Tabla3[[#This Row],[Cliente]],'[1]Datos Contacto'!$A$2:$A$23,'[1]Datos Contacto'!$E$2:$E$23,0,0,1)</f>
        <v>0</v>
      </c>
    </row>
    <row r="808" spans="1:9" x14ac:dyDescent="0.25">
      <c r="A808" s="1"/>
      <c r="B808" s="7" t="s">
        <v>821</v>
      </c>
      <c r="C808" s="3"/>
      <c r="D808" s="21" t="s">
        <v>1225</v>
      </c>
      <c r="E808" s="3" t="s">
        <v>79</v>
      </c>
      <c r="F808" s="1" t="s">
        <v>1226</v>
      </c>
      <c r="G808" s="1" t="s">
        <v>7</v>
      </c>
      <c r="H808" s="9">
        <f>_xlfn.XLOOKUP(Tabla3[[#This Row],[Nit]],Hoja2!A808:A2231,Hoja2!C808:C2231)</f>
        <v>0</v>
      </c>
      <c r="I808" s="1">
        <f>_xlfn.XLOOKUP(Tabla3[[#This Row],[Cliente]],'[1]Datos Contacto'!$A$2:$A$23,'[1]Datos Contacto'!$E$2:$E$23,0,0,1)</f>
        <v>0</v>
      </c>
    </row>
    <row r="809" spans="1:9" x14ac:dyDescent="0.25">
      <c r="A809" s="1"/>
      <c r="B809" s="3" t="s">
        <v>822</v>
      </c>
      <c r="C809" s="3"/>
      <c r="D809" s="21" t="s">
        <v>1225</v>
      </c>
      <c r="E809" s="3" t="s">
        <v>79</v>
      </c>
      <c r="F809" s="1" t="s">
        <v>1226</v>
      </c>
      <c r="G809" s="1" t="s">
        <v>7</v>
      </c>
      <c r="H809" s="9">
        <f>_xlfn.XLOOKUP(Tabla3[[#This Row],[Nit]],Hoja2!A809:A2232,Hoja2!C809:C2232)</f>
        <v>0</v>
      </c>
      <c r="I809" s="1">
        <f>_xlfn.XLOOKUP(Tabla3[[#This Row],[Cliente]],'[1]Datos Contacto'!$A$2:$A$23,'[1]Datos Contacto'!$E$2:$E$23,0,0,1)</f>
        <v>0</v>
      </c>
    </row>
    <row r="810" spans="1:9" x14ac:dyDescent="0.25">
      <c r="A810" s="1"/>
      <c r="B810" s="3" t="s">
        <v>823</v>
      </c>
      <c r="C810" s="3"/>
      <c r="D810" s="21" t="s">
        <v>1225</v>
      </c>
      <c r="E810" s="3" t="s">
        <v>79</v>
      </c>
      <c r="F810" s="1" t="s">
        <v>1226</v>
      </c>
      <c r="G810" s="1" t="s">
        <v>11</v>
      </c>
      <c r="H810" s="9">
        <f>_xlfn.XLOOKUP(Tabla3[[#This Row],[Nit]],Hoja2!A810:A2233,Hoja2!C810:C2233)</f>
        <v>0</v>
      </c>
      <c r="I810" s="1">
        <f>_xlfn.XLOOKUP(Tabla3[[#This Row],[Cliente]],'[1]Datos Contacto'!$A$2:$A$23,'[1]Datos Contacto'!$E$2:$E$23,0,0,1)</f>
        <v>0</v>
      </c>
    </row>
    <row r="811" spans="1:9" x14ac:dyDescent="0.25">
      <c r="A811" s="1"/>
      <c r="B811" s="3" t="s">
        <v>824</v>
      </c>
      <c r="C811" s="3"/>
      <c r="D811" s="21" t="s">
        <v>1225</v>
      </c>
      <c r="E811" s="3" t="s">
        <v>79</v>
      </c>
      <c r="F811" s="1" t="s">
        <v>1226</v>
      </c>
      <c r="G811" s="1" t="s">
        <v>7</v>
      </c>
      <c r="H811" s="9">
        <f>_xlfn.XLOOKUP(Tabla3[[#This Row],[Nit]],Hoja2!A811:A2234,Hoja2!C811:C2234)</f>
        <v>0</v>
      </c>
      <c r="I811" s="1">
        <f>_xlfn.XLOOKUP(Tabla3[[#This Row],[Cliente]],'[1]Datos Contacto'!$A$2:$A$23,'[1]Datos Contacto'!$E$2:$E$23,0,0,1)</f>
        <v>0</v>
      </c>
    </row>
    <row r="812" spans="1:9" x14ac:dyDescent="0.25">
      <c r="A812" s="1"/>
      <c r="B812" s="3" t="s">
        <v>825</v>
      </c>
      <c r="C812" s="3"/>
      <c r="D812" s="21" t="s">
        <v>1225</v>
      </c>
      <c r="E812" s="3" t="s">
        <v>79</v>
      </c>
      <c r="F812" s="1" t="s">
        <v>1226</v>
      </c>
      <c r="G812" s="1" t="s">
        <v>11</v>
      </c>
      <c r="H812" s="9">
        <f>_xlfn.XLOOKUP(Tabla3[[#This Row],[Nit]],Hoja2!A812:A2235,Hoja2!C812:C2235)</f>
        <v>0</v>
      </c>
      <c r="I812" s="1">
        <f>_xlfn.XLOOKUP(Tabla3[[#This Row],[Cliente]],'[1]Datos Contacto'!$A$2:$A$23,'[1]Datos Contacto'!$E$2:$E$23,0,0,1)</f>
        <v>0</v>
      </c>
    </row>
    <row r="813" spans="1:9" x14ac:dyDescent="0.25">
      <c r="A813" s="1"/>
      <c r="B813" s="7" t="s">
        <v>826</v>
      </c>
      <c r="C813" s="3"/>
      <c r="D813" s="21" t="s">
        <v>1225</v>
      </c>
      <c r="E813" s="3" t="s">
        <v>79</v>
      </c>
      <c r="F813" s="1" t="s">
        <v>1226</v>
      </c>
      <c r="G813" s="1" t="s">
        <v>7</v>
      </c>
      <c r="H813" s="9">
        <f>_xlfn.XLOOKUP(Tabla3[[#This Row],[Nit]],Hoja2!A813:A2236,Hoja2!C813:C2236)</f>
        <v>0</v>
      </c>
      <c r="I813" s="1">
        <f>_xlfn.XLOOKUP(Tabla3[[#This Row],[Cliente]],'[1]Datos Contacto'!$A$2:$A$23,'[1]Datos Contacto'!$E$2:$E$23,0,0,1)</f>
        <v>0</v>
      </c>
    </row>
    <row r="814" spans="1:9" x14ac:dyDescent="0.25">
      <c r="A814" s="1"/>
      <c r="B814" s="2" t="s">
        <v>363</v>
      </c>
      <c r="C814" s="1"/>
      <c r="D814" s="21" t="s">
        <v>1225</v>
      </c>
      <c r="E814" s="3" t="s">
        <v>79</v>
      </c>
      <c r="F814" s="1" t="s">
        <v>1226</v>
      </c>
      <c r="G814" s="1" t="s">
        <v>7</v>
      </c>
      <c r="H814" s="9">
        <f>_xlfn.XLOOKUP(Tabla3[[#This Row],[Nit]],Hoja2!A814:A2237,Hoja2!C814:C2237)</f>
        <v>0</v>
      </c>
      <c r="I814" s="1">
        <f>_xlfn.XLOOKUP(Tabla3[[#This Row],[Cliente]],'[1]Datos Contacto'!$A$2:$A$23,'[1]Datos Contacto'!$E$2:$E$23,0,0,1)</f>
        <v>0</v>
      </c>
    </row>
    <row r="815" spans="1:9" x14ac:dyDescent="0.25">
      <c r="A815" s="1"/>
      <c r="B815" s="1" t="s">
        <v>827</v>
      </c>
      <c r="C815" s="1"/>
      <c r="D815" s="21" t="s">
        <v>1225</v>
      </c>
      <c r="E815" s="3" t="s">
        <v>79</v>
      </c>
      <c r="F815" s="1" t="s">
        <v>1226</v>
      </c>
      <c r="G815" s="1" t="s">
        <v>7</v>
      </c>
      <c r="H815" s="9">
        <f>_xlfn.XLOOKUP(Tabla3[[#This Row],[Nit]],Hoja2!A815:A2238,Hoja2!C815:C2238)</f>
        <v>0</v>
      </c>
      <c r="I815" s="1" t="str">
        <f>_xlfn.XLOOKUP(Tabla3[[#This Row],[Cliente]],'[1]Datos Contacto'!$A$2:$A$23,'[1]Datos Contacto'!$E$2:$E$23,0,0,1)</f>
        <v>contabilidad@piner.co</v>
      </c>
    </row>
    <row r="816" spans="1:9" x14ac:dyDescent="0.25">
      <c r="A816" s="1"/>
      <c r="B816" s="2" t="s">
        <v>828</v>
      </c>
      <c r="C816" s="1"/>
      <c r="D816" s="21" t="s">
        <v>1225</v>
      </c>
      <c r="E816" s="3" t="s">
        <v>79</v>
      </c>
      <c r="F816" s="1" t="s">
        <v>1226</v>
      </c>
      <c r="G816" s="1" t="s">
        <v>7</v>
      </c>
      <c r="H816" s="9">
        <f>_xlfn.XLOOKUP(Tabla3[[#This Row],[Nit]],Hoja2!A816:A2239,Hoja2!C816:C2239)</f>
        <v>0</v>
      </c>
      <c r="I816" s="1">
        <f>_xlfn.XLOOKUP(Tabla3[[#This Row],[Cliente]],'[1]Datos Contacto'!$A$2:$A$23,'[1]Datos Contacto'!$E$2:$E$23,0,0,1)</f>
        <v>0</v>
      </c>
    </row>
    <row r="817" spans="1:9" x14ac:dyDescent="0.25">
      <c r="A817" s="1"/>
      <c r="B817" s="2" t="s">
        <v>829</v>
      </c>
      <c r="C817" s="1"/>
      <c r="D817" s="21" t="s">
        <v>1225</v>
      </c>
      <c r="E817" s="3" t="s">
        <v>79</v>
      </c>
      <c r="F817" s="1" t="s">
        <v>1226</v>
      </c>
      <c r="G817" s="1" t="s">
        <v>7</v>
      </c>
      <c r="H817" s="9">
        <f>_xlfn.XLOOKUP(Tabla3[[#This Row],[Nit]],Hoja2!A817:A2240,Hoja2!C817:C2240)</f>
        <v>0</v>
      </c>
      <c r="I817" s="1">
        <f>_xlfn.XLOOKUP(Tabla3[[#This Row],[Cliente]],'[1]Datos Contacto'!$A$2:$A$23,'[1]Datos Contacto'!$E$2:$E$23,0,0,1)</f>
        <v>0</v>
      </c>
    </row>
    <row r="818" spans="1:9" x14ac:dyDescent="0.25">
      <c r="A818" s="1" t="s">
        <v>830</v>
      </c>
      <c r="B818" s="1" t="s">
        <v>831</v>
      </c>
      <c r="C818" s="1" t="s">
        <v>832</v>
      </c>
      <c r="D818" s="21" t="s">
        <v>1225</v>
      </c>
      <c r="E818" s="1" t="s">
        <v>1017</v>
      </c>
      <c r="F818" s="1" t="s">
        <v>1226</v>
      </c>
      <c r="G818" s="1" t="s">
        <v>11</v>
      </c>
      <c r="H818" s="9">
        <f>_xlfn.XLOOKUP(Tabla3[[#This Row],[Cliente]],Hoja2!B2:B1425,Hoja2!C2:C1425)</f>
        <v>1000000</v>
      </c>
      <c r="I818" s="1">
        <f>_xlfn.XLOOKUP(Tabla3[[#This Row],[Cliente]],'[1]Datos Contacto'!$A$2:$A$23,'[1]Datos Contacto'!$E$2:$E$23,0,0,1)</f>
        <v>0</v>
      </c>
    </row>
    <row r="819" spans="1:9" x14ac:dyDescent="0.25">
      <c r="A819" s="1" t="s">
        <v>833</v>
      </c>
      <c r="B819" s="1" t="s">
        <v>834</v>
      </c>
      <c r="C819" s="1" t="s">
        <v>835</v>
      </c>
      <c r="D819" s="21" t="s">
        <v>1225</v>
      </c>
      <c r="E819" s="1" t="s">
        <v>1017</v>
      </c>
      <c r="F819" s="1" t="s">
        <v>1226</v>
      </c>
      <c r="G819" s="1" t="s">
        <v>11</v>
      </c>
      <c r="H819" s="9">
        <f>_xlfn.XLOOKUP(Tabla3[[#This Row],[Cliente]],Hoja2!B3:B1426,Hoja2!C3:C1426)</f>
        <v>0</v>
      </c>
      <c r="I819" s="1">
        <f>_xlfn.XLOOKUP(Tabla3[[#This Row],[Cliente]],'[1]Datos Contacto'!$A$2:$A$23,'[1]Datos Contacto'!$E$2:$E$23,0,0,1)</f>
        <v>0</v>
      </c>
    </row>
    <row r="820" spans="1:9" x14ac:dyDescent="0.25">
      <c r="A820" s="1" t="s">
        <v>836</v>
      </c>
      <c r="B820" s="1" t="s">
        <v>837</v>
      </c>
      <c r="C820" s="1" t="s">
        <v>838</v>
      </c>
      <c r="D820" s="21" t="s">
        <v>1225</v>
      </c>
      <c r="E820" s="1" t="s">
        <v>1017</v>
      </c>
      <c r="F820" s="1" t="s">
        <v>1226</v>
      </c>
      <c r="G820" s="1" t="s">
        <v>7</v>
      </c>
      <c r="H820" s="9">
        <v>5000000</v>
      </c>
      <c r="I820" s="1">
        <f>_xlfn.XLOOKUP(Tabla3[[#This Row],[Cliente]],'[1]Datos Contacto'!$A$2:$A$23,'[1]Datos Contacto'!$E$2:$E$23,0,0,1)</f>
        <v>0</v>
      </c>
    </row>
    <row r="821" spans="1:9" x14ac:dyDescent="0.25">
      <c r="A821" s="1" t="s">
        <v>836</v>
      </c>
      <c r="B821" s="1" t="s">
        <v>839</v>
      </c>
      <c r="C821" s="1" t="s">
        <v>838</v>
      </c>
      <c r="D821" s="21" t="s">
        <v>1225</v>
      </c>
      <c r="E821" s="1" t="s">
        <v>1017</v>
      </c>
      <c r="F821" s="1" t="s">
        <v>1226</v>
      </c>
      <c r="G821" s="1" t="s">
        <v>7</v>
      </c>
      <c r="H821" s="9">
        <f>_xlfn.XLOOKUP(Tabla3[[#This Row],[Cliente]],Hoja2!B5:B1428,Hoja2!C5:C1428)</f>
        <v>5000000</v>
      </c>
      <c r="I821" s="1">
        <f>_xlfn.XLOOKUP(Tabla3[[#This Row],[Cliente]],'[1]Datos Contacto'!$A$2:$A$23,'[1]Datos Contacto'!$E$2:$E$23,0,0,1)</f>
        <v>0</v>
      </c>
    </row>
    <row r="822" spans="1:9" x14ac:dyDescent="0.25">
      <c r="A822" s="1" t="s">
        <v>840</v>
      </c>
      <c r="B822" s="1" t="s">
        <v>841</v>
      </c>
      <c r="C822" s="1" t="s">
        <v>842</v>
      </c>
      <c r="D822" s="21" t="s">
        <v>1225</v>
      </c>
      <c r="E822" s="1" t="s">
        <v>1017</v>
      </c>
      <c r="F822" s="1" t="s">
        <v>1226</v>
      </c>
      <c r="G822" s="1" t="s">
        <v>11</v>
      </c>
      <c r="H822" s="9">
        <f>_xlfn.XLOOKUP(Tabla3[[#This Row],[Cliente]],Hoja2!B6:B1429,Hoja2!C6:C1429)</f>
        <v>0</v>
      </c>
      <c r="I822" s="1">
        <f>_xlfn.XLOOKUP(Tabla3[[#This Row],[Cliente]],'[1]Datos Contacto'!$A$2:$A$23,'[1]Datos Contacto'!$E$2:$E$23,0,0,1)</f>
        <v>0</v>
      </c>
    </row>
    <row r="823" spans="1:9" x14ac:dyDescent="0.25">
      <c r="A823" s="1" t="s">
        <v>843</v>
      </c>
      <c r="B823" s="8" t="s">
        <v>844</v>
      </c>
      <c r="C823" s="1" t="s">
        <v>845</v>
      </c>
      <c r="D823" s="21" t="s">
        <v>1225</v>
      </c>
      <c r="E823" s="1" t="s">
        <v>1017</v>
      </c>
      <c r="F823" s="1" t="s">
        <v>1226</v>
      </c>
      <c r="G823" s="1" t="s">
        <v>11</v>
      </c>
      <c r="H823" s="9">
        <f>_xlfn.XLOOKUP(Tabla3[[#This Row],[Cliente]],Hoja2!B7:B1430,Hoja2!C7:C1430)</f>
        <v>5000000</v>
      </c>
      <c r="I823" s="1">
        <f>_xlfn.XLOOKUP(Tabla3[[#This Row],[Cliente]],'[1]Datos Contacto'!$A$2:$A$23,'[1]Datos Contacto'!$E$2:$E$23,0,0,1)</f>
        <v>0</v>
      </c>
    </row>
    <row r="824" spans="1:9" x14ac:dyDescent="0.25">
      <c r="A824" s="1">
        <v>1022365147</v>
      </c>
      <c r="B824" s="1" t="s">
        <v>846</v>
      </c>
      <c r="C824" s="1" t="s">
        <v>847</v>
      </c>
      <c r="D824" s="21" t="s">
        <v>1225</v>
      </c>
      <c r="E824" s="1" t="s">
        <v>1017</v>
      </c>
      <c r="F824" s="1" t="s">
        <v>1226</v>
      </c>
      <c r="G824" s="1" t="s">
        <v>11</v>
      </c>
      <c r="H824" s="9">
        <f>_xlfn.XLOOKUP(Tabla3[[#This Row],[Nit]],Hoja2!A824:A2247,Hoja2!C824:C2247)</f>
        <v>0</v>
      </c>
      <c r="I824" s="1">
        <f>_xlfn.XLOOKUP(Tabla3[[#This Row],[Cliente]],'[1]Datos Contacto'!$A$2:$A$23,'[1]Datos Contacto'!$E$2:$E$23,0,0,1)</f>
        <v>0</v>
      </c>
    </row>
    <row r="825" spans="1:9" x14ac:dyDescent="0.25">
      <c r="A825" s="1">
        <v>1049018901</v>
      </c>
      <c r="B825" s="1" t="s">
        <v>848</v>
      </c>
      <c r="C825" s="1" t="s">
        <v>849</v>
      </c>
      <c r="D825" s="21" t="s">
        <v>1225</v>
      </c>
      <c r="E825" s="1" t="s">
        <v>984</v>
      </c>
      <c r="F825" s="1" t="s">
        <v>1226</v>
      </c>
      <c r="G825" s="1" t="s">
        <v>11</v>
      </c>
      <c r="H825" s="9">
        <f>_xlfn.XLOOKUP(Tabla3[[#This Row],[Nit]],Hoja2!A825:A2248,Hoja2!C825:C2248)</f>
        <v>0</v>
      </c>
      <c r="I825" s="1">
        <f>_xlfn.XLOOKUP(Tabla3[[#This Row],[Cliente]],'[1]Datos Contacto'!$A$2:$A$23,'[1]Datos Contacto'!$E$2:$E$23,0,0,1)</f>
        <v>0</v>
      </c>
    </row>
    <row r="826" spans="1:9" x14ac:dyDescent="0.25">
      <c r="A826" s="1">
        <v>20610698</v>
      </c>
      <c r="B826" s="1" t="s">
        <v>850</v>
      </c>
      <c r="C826" s="1" t="s">
        <v>851</v>
      </c>
      <c r="D826" s="21" t="s">
        <v>1225</v>
      </c>
      <c r="E826" s="1" t="s">
        <v>1017</v>
      </c>
      <c r="F826" s="1" t="s">
        <v>1226</v>
      </c>
      <c r="G826" s="1" t="s">
        <v>11</v>
      </c>
      <c r="H826" s="9">
        <f>_xlfn.XLOOKUP(Tabla3[[#This Row],[Nit]],Hoja2!A826:A2249,Hoja2!C826:C2249)</f>
        <v>0</v>
      </c>
      <c r="I826" s="1">
        <f>_xlfn.XLOOKUP(Tabla3[[#This Row],[Cliente]],'[1]Datos Contacto'!$A$2:$A$23,'[1]Datos Contacto'!$E$2:$E$23,0,0,1)</f>
        <v>0</v>
      </c>
    </row>
    <row r="827" spans="1:9" x14ac:dyDescent="0.25">
      <c r="A827" s="1">
        <v>52973625</v>
      </c>
      <c r="B827" s="1" t="s">
        <v>852</v>
      </c>
      <c r="C827" s="1" t="s">
        <v>853</v>
      </c>
      <c r="D827" s="21" t="s">
        <v>1225</v>
      </c>
      <c r="E827" s="1" t="s">
        <v>984</v>
      </c>
      <c r="F827" s="1" t="s">
        <v>1226</v>
      </c>
      <c r="G827" s="1" t="s">
        <v>11</v>
      </c>
      <c r="H827" s="9">
        <f>_xlfn.XLOOKUP(Tabla3[[#This Row],[Nit]],Hoja2!A827:A2250,Hoja2!C827:C2250)</f>
        <v>0</v>
      </c>
      <c r="I827" s="1">
        <f>_xlfn.XLOOKUP(Tabla3[[#This Row],[Cliente]],'[1]Datos Contacto'!$A$2:$A$23,'[1]Datos Contacto'!$E$2:$E$23,0,0,1)</f>
        <v>0</v>
      </c>
    </row>
    <row r="828" spans="1:9" x14ac:dyDescent="0.25">
      <c r="A828" s="1">
        <v>52899303</v>
      </c>
      <c r="B828" s="1" t="s">
        <v>854</v>
      </c>
      <c r="C828" s="1" t="s">
        <v>855</v>
      </c>
      <c r="D828" s="21" t="s">
        <v>1225</v>
      </c>
      <c r="E828" s="1" t="s">
        <v>1017</v>
      </c>
      <c r="F828" s="1" t="s">
        <v>1226</v>
      </c>
      <c r="G828" s="1" t="s">
        <v>11</v>
      </c>
      <c r="H828" s="9">
        <f>_xlfn.XLOOKUP(Tabla3[[#This Row],[Cliente]],Hoja2!B12:B1435,Hoja2!C12:C1435)</f>
        <v>0</v>
      </c>
      <c r="I828" s="1">
        <f>_xlfn.XLOOKUP(Tabla3[[#This Row],[Cliente]],'[1]Datos Contacto'!$A$2:$A$23,'[1]Datos Contacto'!$E$2:$E$23,0,0,1)</f>
        <v>0</v>
      </c>
    </row>
    <row r="829" spans="1:9" x14ac:dyDescent="0.25">
      <c r="A829" s="1">
        <v>35378811</v>
      </c>
      <c r="B829" s="1" t="s">
        <v>856</v>
      </c>
      <c r="C829" s="1" t="s">
        <v>857</v>
      </c>
      <c r="D829" s="21" t="s">
        <v>1225</v>
      </c>
      <c r="E829" s="1" t="s">
        <v>984</v>
      </c>
      <c r="F829" s="1" t="s">
        <v>1226</v>
      </c>
      <c r="G829" s="1" t="s">
        <v>11</v>
      </c>
      <c r="H829" s="9">
        <f>_xlfn.XLOOKUP(Tabla3[[#This Row],[Nit]],Hoja2!A829:A2252,Hoja2!C829:C2252)</f>
        <v>0</v>
      </c>
      <c r="I829" s="1">
        <f>_xlfn.XLOOKUP(Tabla3[[#This Row],[Cliente]],'[1]Datos Contacto'!$A$2:$A$23,'[1]Datos Contacto'!$E$2:$E$23,0,0,1)</f>
        <v>0</v>
      </c>
    </row>
    <row r="830" spans="1:9" x14ac:dyDescent="0.25">
      <c r="A830" s="1">
        <v>1019145894</v>
      </c>
      <c r="B830" s="1" t="s">
        <v>858</v>
      </c>
      <c r="C830" s="1"/>
      <c r="D830" s="21" t="s">
        <v>1225</v>
      </c>
      <c r="E830" s="1" t="s">
        <v>984</v>
      </c>
      <c r="F830" s="1" t="s">
        <v>1226</v>
      </c>
      <c r="G830" s="1" t="s">
        <v>11</v>
      </c>
      <c r="H830" s="9">
        <f>_xlfn.XLOOKUP(Tabla3[[#This Row],[Cliente]],Hoja2!B14:B1437,Hoja2!C14:C1437)</f>
        <v>0</v>
      </c>
      <c r="I830" s="1">
        <f>_xlfn.XLOOKUP(Tabla3[[#This Row],[Cliente]],'[1]Datos Contacto'!$A$2:$A$23,'[1]Datos Contacto'!$E$2:$E$23,0,0,1)</f>
        <v>0</v>
      </c>
    </row>
    <row r="831" spans="1:9" x14ac:dyDescent="0.25">
      <c r="A831" s="1">
        <v>52352150</v>
      </c>
      <c r="B831" s="1" t="s">
        <v>859</v>
      </c>
      <c r="C831" s="1" t="s">
        <v>860</v>
      </c>
      <c r="D831" s="21" t="s">
        <v>1225</v>
      </c>
      <c r="E831" s="1" t="s">
        <v>1017</v>
      </c>
      <c r="F831" s="1" t="s">
        <v>1226</v>
      </c>
      <c r="G831" s="1" t="s">
        <v>11</v>
      </c>
      <c r="H831" s="9">
        <f>_xlfn.XLOOKUP(Tabla3[[#This Row],[Nit]],Hoja2!A831:A2254,Hoja2!C831:C2254)</f>
        <v>0</v>
      </c>
      <c r="I831" s="1">
        <f>_xlfn.XLOOKUP(Tabla3[[#This Row],[Cliente]],'[1]Datos Contacto'!$A$2:$A$23,'[1]Datos Contacto'!$E$2:$E$23,0,0,1)</f>
        <v>0</v>
      </c>
    </row>
    <row r="832" spans="1:9" x14ac:dyDescent="0.25">
      <c r="A832" s="1">
        <v>79486810</v>
      </c>
      <c r="B832" s="1" t="s">
        <v>861</v>
      </c>
      <c r="C832" s="1" t="s">
        <v>862</v>
      </c>
      <c r="D832" s="21" t="s">
        <v>1225</v>
      </c>
      <c r="E832" s="1" t="s">
        <v>1017</v>
      </c>
      <c r="F832" s="1" t="s">
        <v>1226</v>
      </c>
      <c r="G832" s="1" t="s">
        <v>11</v>
      </c>
      <c r="H832" s="9">
        <f>_xlfn.XLOOKUP(Tabla3[[#This Row],[Cliente]],Hoja2!B16:B1439,Hoja2!C16:C1439)</f>
        <v>0</v>
      </c>
      <c r="I832" s="1">
        <f>_xlfn.XLOOKUP(Tabla3[[#This Row],[Cliente]],'[1]Datos Contacto'!$A$2:$A$23,'[1]Datos Contacto'!$E$2:$E$23,0,0,1)</f>
        <v>0</v>
      </c>
    </row>
    <row r="833" spans="1:9" x14ac:dyDescent="0.25">
      <c r="A833" s="1">
        <v>35331038</v>
      </c>
      <c r="B833" s="1" t="s">
        <v>863</v>
      </c>
      <c r="C833" s="1" t="s">
        <v>864</v>
      </c>
      <c r="D833" s="21" t="s">
        <v>1225</v>
      </c>
      <c r="E833" s="1" t="s">
        <v>1017</v>
      </c>
      <c r="F833" s="1" t="s">
        <v>1226</v>
      </c>
      <c r="G833" s="1" t="s">
        <v>11</v>
      </c>
      <c r="H833" s="9">
        <f>_xlfn.XLOOKUP(Tabla3[[#This Row],[Cliente]],Hoja2!B17:B1440,Hoja2!C17:C1440)</f>
        <v>0</v>
      </c>
      <c r="I833" s="1">
        <f>_xlfn.XLOOKUP(Tabla3[[#This Row],[Cliente]],'[1]Datos Contacto'!$A$2:$A$23,'[1]Datos Contacto'!$E$2:$E$23,0,0,1)</f>
        <v>0</v>
      </c>
    </row>
    <row r="834" spans="1:9" x14ac:dyDescent="0.25">
      <c r="A834" s="1">
        <v>79975592</v>
      </c>
      <c r="B834" s="1" t="s">
        <v>865</v>
      </c>
      <c r="C834" s="1" t="s">
        <v>866</v>
      </c>
      <c r="D834" s="21" t="s">
        <v>1225</v>
      </c>
      <c r="E834" s="1" t="s">
        <v>984</v>
      </c>
      <c r="F834" s="1" t="s">
        <v>1226</v>
      </c>
      <c r="G834" s="1" t="s">
        <v>11</v>
      </c>
      <c r="H834" s="9">
        <f>_xlfn.XLOOKUP(Tabla3[[#This Row],[Cliente]],Hoja2!B18:B1441,Hoja2!C18:C1441)</f>
        <v>0</v>
      </c>
      <c r="I834" s="1">
        <f>_xlfn.XLOOKUP(Tabla3[[#This Row],[Cliente]],'[1]Datos Contacto'!$A$2:$A$23,'[1]Datos Contacto'!$E$2:$E$23,0,0,1)</f>
        <v>0</v>
      </c>
    </row>
    <row r="835" spans="1:9" x14ac:dyDescent="0.25">
      <c r="A835" s="1">
        <v>7175034</v>
      </c>
      <c r="B835" s="1" t="s">
        <v>867</v>
      </c>
      <c r="C835" s="1" t="s">
        <v>868</v>
      </c>
      <c r="D835" s="21" t="s">
        <v>1225</v>
      </c>
      <c r="E835" s="1" t="s">
        <v>984</v>
      </c>
      <c r="F835" s="1" t="s">
        <v>1226</v>
      </c>
      <c r="G835" s="1" t="s">
        <v>7</v>
      </c>
      <c r="H835" s="9">
        <f>_xlfn.XLOOKUP(Tabla3[[#This Row],[Cliente]],Hoja2!B19:B1442,Hoja2!C19:C1442)</f>
        <v>1000000</v>
      </c>
      <c r="I835" s="1">
        <f>_xlfn.XLOOKUP(Tabla3[[#This Row],[Cliente]],'[1]Datos Contacto'!$A$2:$A$23,'[1]Datos Contacto'!$E$2:$E$23,0,0,1)</f>
        <v>0</v>
      </c>
    </row>
    <row r="836" spans="1:9" x14ac:dyDescent="0.25">
      <c r="A836" s="1">
        <v>901210319</v>
      </c>
      <c r="B836" s="1" t="s">
        <v>869</v>
      </c>
      <c r="C836" s="1" t="s">
        <v>870</v>
      </c>
      <c r="D836" s="21" t="s">
        <v>1225</v>
      </c>
      <c r="E836" s="1" t="s">
        <v>6</v>
      </c>
      <c r="F836" s="1" t="s">
        <v>1226</v>
      </c>
      <c r="G836" s="1" t="s">
        <v>7</v>
      </c>
      <c r="H836" s="9">
        <f>_xlfn.XLOOKUP(Tabla3[[#This Row],[Cliente]],Hoja2!B20:B1443,Hoja2!C20:C1443)</f>
        <v>5000000</v>
      </c>
      <c r="I836" s="1">
        <f>_xlfn.XLOOKUP(Tabla3[[#This Row],[Cliente]],'[1]Datos Contacto'!$A$2:$A$23,'[1]Datos Contacto'!$E$2:$E$23,0,0,1)</f>
        <v>0</v>
      </c>
    </row>
    <row r="837" spans="1:9" x14ac:dyDescent="0.25">
      <c r="A837" s="1">
        <v>900608930</v>
      </c>
      <c r="B837" s="1" t="s">
        <v>871</v>
      </c>
      <c r="C837" s="1" t="s">
        <v>870</v>
      </c>
      <c r="D837" s="21" t="s">
        <v>1225</v>
      </c>
      <c r="E837" s="1" t="s">
        <v>6</v>
      </c>
      <c r="F837" s="1" t="s">
        <v>1226</v>
      </c>
      <c r="G837" s="1" t="s">
        <v>7</v>
      </c>
      <c r="H837" s="9">
        <f>_xlfn.XLOOKUP(Tabla3[[#This Row],[Cliente]],Hoja2!B21:B1444,Hoja2!C21:C1444)</f>
        <v>3000000</v>
      </c>
      <c r="I837" s="1">
        <f>_xlfn.XLOOKUP(Tabla3[[#This Row],[Cliente]],'[1]Datos Contacto'!$A$2:$A$23,'[1]Datos Contacto'!$E$2:$E$23,0,0,1)</f>
        <v>0</v>
      </c>
    </row>
    <row r="838" spans="1:9" x14ac:dyDescent="0.25">
      <c r="A838" s="1">
        <v>901786098</v>
      </c>
      <c r="B838" s="1" t="s">
        <v>872</v>
      </c>
      <c r="C838" s="1"/>
      <c r="D838" s="21" t="s">
        <v>1225</v>
      </c>
      <c r="E838" s="1" t="s">
        <v>6</v>
      </c>
      <c r="F838" s="1" t="s">
        <v>1226</v>
      </c>
      <c r="G838" s="1" t="s">
        <v>7</v>
      </c>
      <c r="H838" s="9">
        <f>_xlfn.XLOOKUP(Tabla3[[#This Row],[Cliente]],Hoja2!B22:B1445,Hoja2!C22:C1445)</f>
        <v>5000000</v>
      </c>
      <c r="I838" s="1">
        <f>_xlfn.XLOOKUP(Tabla3[[#This Row],[Cliente]],'[1]Datos Contacto'!$A$2:$A$23,'[1]Datos Contacto'!$E$2:$E$23,0,0,1)</f>
        <v>0</v>
      </c>
    </row>
    <row r="839" spans="1:9" x14ac:dyDescent="0.25">
      <c r="A839" s="1">
        <v>830047537</v>
      </c>
      <c r="B839" s="1" t="s">
        <v>873</v>
      </c>
      <c r="C839" s="1"/>
      <c r="D839" s="21" t="s">
        <v>1225</v>
      </c>
      <c r="E839" s="1" t="s">
        <v>6</v>
      </c>
      <c r="F839" s="1" t="s">
        <v>1226</v>
      </c>
      <c r="G839" s="1" t="s">
        <v>7</v>
      </c>
      <c r="H839" s="9">
        <f>_xlfn.XLOOKUP(Tabla3[[#This Row],[Nit]],Hoja2!A839:A2262,Hoja2!C839:C2262)</f>
        <v>15000000</v>
      </c>
      <c r="I839" s="1">
        <f>_xlfn.XLOOKUP(Tabla3[[#This Row],[Cliente]],'[1]Datos Contacto'!$A$2:$A$23,'[1]Datos Contacto'!$E$2:$E$23,0,0,1)</f>
        <v>0</v>
      </c>
    </row>
    <row r="840" spans="1:9" x14ac:dyDescent="0.25">
      <c r="A840" s="1">
        <v>900511756</v>
      </c>
      <c r="B840" s="1" t="s">
        <v>874</v>
      </c>
      <c r="C840" s="1"/>
      <c r="D840" s="21" t="s">
        <v>1225</v>
      </c>
      <c r="E840" s="1" t="s">
        <v>6</v>
      </c>
      <c r="F840" s="1" t="s">
        <v>1226</v>
      </c>
      <c r="G840" s="1" t="s">
        <v>7</v>
      </c>
      <c r="H840" s="9">
        <f>_xlfn.XLOOKUP(Tabla3[[#This Row],[Nit]],Hoja2!A840:A2263,Hoja2!C840:C2263)</f>
        <v>30000000</v>
      </c>
      <c r="I840" s="1">
        <f>_xlfn.XLOOKUP(Tabla3[[#This Row],[Cliente]],'[1]Datos Contacto'!$A$2:$A$23,'[1]Datos Contacto'!$E$2:$E$23,0,0,1)</f>
        <v>0</v>
      </c>
    </row>
    <row r="841" spans="1:9" x14ac:dyDescent="0.25">
      <c r="A841" s="1">
        <v>860061403</v>
      </c>
      <c r="B841" s="1" t="s">
        <v>875</v>
      </c>
      <c r="C841" s="1"/>
      <c r="D841" s="21" t="s">
        <v>1225</v>
      </c>
      <c r="E841" s="1" t="s">
        <v>6</v>
      </c>
      <c r="F841" s="1" t="s">
        <v>1226</v>
      </c>
      <c r="G841" s="1" t="s">
        <v>7</v>
      </c>
      <c r="H841" s="9">
        <f>_xlfn.XLOOKUP(Tabla3[[#This Row],[Nit]],Hoja2!A841:A2264,Hoja2!C841:C2264)</f>
        <v>50000000</v>
      </c>
      <c r="I841" s="1" t="str">
        <f>_xlfn.XLOOKUP(Tabla3[[#This Row],[Cliente]],'[1]Datos Contacto'!$A$2:$A$23,'[1]Datos Contacto'!$E$2:$E$23,0,0,1)</f>
        <v>facturacionplanta@ppc.com.co</v>
      </c>
    </row>
    <row r="842" spans="1:9" x14ac:dyDescent="0.25">
      <c r="A842" s="1" t="s">
        <v>876</v>
      </c>
      <c r="B842" s="1" t="s">
        <v>877</v>
      </c>
      <c r="C842" s="1"/>
      <c r="D842" s="21" t="s">
        <v>1225</v>
      </c>
      <c r="E842" s="1" t="s">
        <v>9</v>
      </c>
      <c r="F842" s="1" t="s">
        <v>1226</v>
      </c>
      <c r="G842" s="1" t="s">
        <v>7</v>
      </c>
      <c r="H842" s="9">
        <f>_xlfn.XLOOKUP(Tabla3[[#This Row],[Cliente]],Hoja2!B26:B1449,Hoja2!C26:C1449)</f>
        <v>16000000</v>
      </c>
      <c r="I842" s="1">
        <f>_xlfn.XLOOKUP(Tabla3[[#This Row],[Cliente]],'[1]Datos Contacto'!$A$2:$A$23,'[1]Datos Contacto'!$E$2:$E$23,0,0,1)</f>
        <v>0</v>
      </c>
    </row>
    <row r="843" spans="1:9" x14ac:dyDescent="0.25">
      <c r="A843" s="1" t="s">
        <v>878</v>
      </c>
      <c r="B843" s="1" t="s">
        <v>879</v>
      </c>
      <c r="C843" s="1"/>
      <c r="D843" s="21" t="s">
        <v>1225</v>
      </c>
      <c r="E843" s="1" t="s">
        <v>9</v>
      </c>
      <c r="F843" s="1" t="s">
        <v>1226</v>
      </c>
      <c r="G843" s="1" t="s">
        <v>7</v>
      </c>
      <c r="H843" s="9">
        <f>_xlfn.XLOOKUP(Tabla3[[#This Row],[Cliente]],Hoja2!B27:B1450,Hoja2!C27:C1450)</f>
        <v>30000000</v>
      </c>
      <c r="I843" s="1">
        <f>_xlfn.XLOOKUP(Tabla3[[#This Row],[Cliente]],'[1]Datos Contacto'!$A$2:$A$23,'[1]Datos Contacto'!$E$2:$E$23,0,0,1)</f>
        <v>0</v>
      </c>
    </row>
    <row r="844" spans="1:9" x14ac:dyDescent="0.25">
      <c r="A844" s="1" t="s">
        <v>880</v>
      </c>
      <c r="B844" s="1" t="s">
        <v>906</v>
      </c>
      <c r="C844" s="1"/>
      <c r="D844" s="21" t="s">
        <v>1225</v>
      </c>
      <c r="E844" s="1" t="s">
        <v>9</v>
      </c>
      <c r="F844" s="1" t="s">
        <v>1226</v>
      </c>
      <c r="G844" s="1" t="s">
        <v>7</v>
      </c>
      <c r="H844" s="9">
        <f>_xlfn.XLOOKUP(Tabla3[[#This Row],[Cliente]],Hoja2!B28:B1451,Hoja2!C28:C1451)</f>
        <v>50000000</v>
      </c>
      <c r="I844" s="1">
        <f>_xlfn.XLOOKUP(Tabla3[[#This Row],[Cliente]],'[1]Datos Contacto'!$A$2:$A$23,'[1]Datos Contacto'!$E$2:$E$23,0,0,1)</f>
        <v>0</v>
      </c>
    </row>
    <row r="845" spans="1:9" x14ac:dyDescent="0.25">
      <c r="A845" s="1" t="s">
        <v>881</v>
      </c>
      <c r="B845" s="1" t="s">
        <v>882</v>
      </c>
      <c r="C845" s="1"/>
      <c r="D845" s="21" t="s">
        <v>1225</v>
      </c>
      <c r="E845" s="1" t="s">
        <v>79</v>
      </c>
      <c r="F845" s="1" t="s">
        <v>1226</v>
      </c>
      <c r="G845" s="1" t="s">
        <v>7</v>
      </c>
      <c r="H845" s="9">
        <f>_xlfn.XLOOKUP(Tabla3[[#This Row],[Cliente]],Hoja2!B29:B1452,Hoja2!C29:C1452)</f>
        <v>2000000</v>
      </c>
      <c r="I845" s="1">
        <f>_xlfn.XLOOKUP(Tabla3[[#This Row],[Cliente]],'[1]Datos Contacto'!$A$2:$A$23,'[1]Datos Contacto'!$E$2:$E$23,0,0,1)</f>
        <v>0</v>
      </c>
    </row>
    <row r="846" spans="1:9" x14ac:dyDescent="0.25">
      <c r="A846" s="1" t="s">
        <v>883</v>
      </c>
      <c r="B846" s="1" t="s">
        <v>884</v>
      </c>
      <c r="C846" s="1"/>
      <c r="D846" s="21" t="s">
        <v>1225</v>
      </c>
      <c r="E846" s="1" t="s">
        <v>79</v>
      </c>
      <c r="F846" s="1" t="s">
        <v>1226</v>
      </c>
      <c r="G846" s="1" t="s">
        <v>7</v>
      </c>
      <c r="H846" s="9">
        <f>_xlfn.XLOOKUP(Tabla3[[#This Row],[Cliente]],Hoja2!B30:B1453,Hoja2!C30:C1453)</f>
        <v>10000000</v>
      </c>
      <c r="I846" s="1">
        <f>_xlfn.XLOOKUP(Tabla3[[#This Row],[Cliente]],'[1]Datos Contacto'!$A$2:$A$23,'[1]Datos Contacto'!$E$2:$E$23,0,0,1)</f>
        <v>0</v>
      </c>
    </row>
    <row r="847" spans="1:9" x14ac:dyDescent="0.25">
      <c r="A847" s="1">
        <v>901880029</v>
      </c>
      <c r="B847" s="1" t="s">
        <v>885</v>
      </c>
      <c r="C847" s="1"/>
      <c r="D847" s="21" t="s">
        <v>1225</v>
      </c>
      <c r="E847" s="1" t="s">
        <v>9</v>
      </c>
      <c r="F847" s="1" t="s">
        <v>1226</v>
      </c>
      <c r="G847" s="1" t="s">
        <v>11</v>
      </c>
      <c r="H847" s="9">
        <v>10000000</v>
      </c>
      <c r="I847" s="1">
        <f>_xlfn.XLOOKUP(Tabla3[[#This Row],[Cliente]],'[1]Datos Contacto'!$A$2:$A$23,'[1]Datos Contacto'!$E$2:$E$23,0,0,1)</f>
        <v>0</v>
      </c>
    </row>
    <row r="848" spans="1:9" x14ac:dyDescent="0.25">
      <c r="A848" s="8" t="s">
        <v>886</v>
      </c>
      <c r="B848" s="1" t="s">
        <v>887</v>
      </c>
      <c r="C848" s="1"/>
      <c r="D848" s="21" t="s">
        <v>1225</v>
      </c>
      <c r="E848" s="1" t="s">
        <v>9</v>
      </c>
      <c r="F848" s="1" t="s">
        <v>1226</v>
      </c>
      <c r="G848" s="1" t="s">
        <v>11</v>
      </c>
      <c r="H848" s="9">
        <f>_xlfn.XLOOKUP(Tabla3[[#This Row],[Cliente]],Hoja2!B32:B1455,Hoja2!C32:C1455)</f>
        <v>70000000</v>
      </c>
      <c r="I848" s="1">
        <f>_xlfn.XLOOKUP(Tabla3[[#This Row],[Cliente]],'[1]Datos Contacto'!$A$2:$A$23,'[1]Datos Contacto'!$E$2:$E$23,0,0,1)</f>
        <v>0</v>
      </c>
    </row>
    <row r="849" spans="1:9" x14ac:dyDescent="0.25">
      <c r="A849" s="8" t="s">
        <v>888</v>
      </c>
      <c r="B849" s="1" t="s">
        <v>889</v>
      </c>
      <c r="C849" s="1"/>
      <c r="D849" s="21" t="s">
        <v>1225</v>
      </c>
      <c r="E849" s="1" t="s">
        <v>79</v>
      </c>
      <c r="F849" s="1" t="s">
        <v>1226</v>
      </c>
      <c r="G849" s="1" t="s">
        <v>7</v>
      </c>
      <c r="H849" s="9">
        <f>_xlfn.XLOOKUP(Tabla3[[#This Row],[Cliente]],Hoja2!B33:B1456,Hoja2!C33:C1456)</f>
        <v>2000000</v>
      </c>
      <c r="I849" s="1">
        <f>_xlfn.XLOOKUP(Tabla3[[#This Row],[Cliente]],'[1]Datos Contacto'!$A$2:$A$23,'[1]Datos Contacto'!$E$2:$E$23,0,0,1)</f>
        <v>0</v>
      </c>
    </row>
    <row r="850" spans="1:9" x14ac:dyDescent="0.25">
      <c r="A850" s="1" t="s">
        <v>890</v>
      </c>
      <c r="B850" s="1" t="s">
        <v>891</v>
      </c>
      <c r="C850" s="1"/>
      <c r="D850" s="21" t="s">
        <v>1225</v>
      </c>
      <c r="E850" s="1" t="s">
        <v>79</v>
      </c>
      <c r="F850" s="1" t="s">
        <v>1226</v>
      </c>
      <c r="G850" s="1" t="s">
        <v>11</v>
      </c>
      <c r="H850" s="9">
        <f>_xlfn.XLOOKUP(Tabla3[[#This Row],[Cliente]],Hoja2!B34:B1457,Hoja2!C34:C1457)</f>
        <v>1000000</v>
      </c>
      <c r="I850" s="1">
        <f>_xlfn.XLOOKUP(Tabla3[[#This Row],[Cliente]],'[1]Datos Contacto'!$A$2:$A$23,'[1]Datos Contacto'!$E$2:$E$23,0,0,1)</f>
        <v>0</v>
      </c>
    </row>
    <row r="851" spans="1:9" x14ac:dyDescent="0.25">
      <c r="A851" s="1"/>
      <c r="B851" s="1" t="s">
        <v>892</v>
      </c>
      <c r="C851" s="1"/>
      <c r="D851" s="21" t="s">
        <v>1225</v>
      </c>
      <c r="E851" s="1" t="s">
        <v>9</v>
      </c>
      <c r="F851" s="1" t="s">
        <v>1226</v>
      </c>
      <c r="G851" s="4" t="s">
        <v>11</v>
      </c>
      <c r="H851" s="9">
        <f>_xlfn.XLOOKUP(Tabla3[[#This Row],[Nit]],Hoja2!A851:A2274,Hoja2!C851:C2274)</f>
        <v>0</v>
      </c>
      <c r="I851" s="1">
        <f>_xlfn.XLOOKUP(Tabla3[[#This Row],[Cliente]],'[1]Datos Contacto'!$A$2:$A$23,'[1]Datos Contacto'!$E$2:$E$23,0,0,1)</f>
        <v>0</v>
      </c>
    </row>
    <row r="852" spans="1:9" x14ac:dyDescent="0.25">
      <c r="A852" s="1"/>
      <c r="B852" s="1" t="s">
        <v>893</v>
      </c>
      <c r="C852" s="1"/>
      <c r="D852" s="21" t="s">
        <v>1225</v>
      </c>
      <c r="E852" s="1" t="s">
        <v>9</v>
      </c>
      <c r="F852" s="1" t="s">
        <v>1226</v>
      </c>
      <c r="G852" s="4" t="s">
        <v>11</v>
      </c>
      <c r="H852" s="9">
        <f>_xlfn.XLOOKUP(Tabla3[[#This Row],[Nit]],Hoja2!A852:A2275,Hoja2!C852:C2275)</f>
        <v>0</v>
      </c>
      <c r="I852" s="1">
        <f>_xlfn.XLOOKUP(Tabla3[[#This Row],[Cliente]],'[1]Datos Contacto'!$A$2:$A$23,'[1]Datos Contacto'!$E$2:$E$23,0,0,1)</f>
        <v>0</v>
      </c>
    </row>
    <row r="853" spans="1:9" x14ac:dyDescent="0.25">
      <c r="A853" s="1"/>
      <c r="B853" s="1" t="s">
        <v>894</v>
      </c>
      <c r="C853" s="1"/>
      <c r="D853" s="21" t="s">
        <v>1225</v>
      </c>
      <c r="E853" s="1" t="s">
        <v>9</v>
      </c>
      <c r="F853" s="1" t="s">
        <v>1226</v>
      </c>
      <c r="G853" s="4" t="s">
        <v>11</v>
      </c>
      <c r="H853" s="9">
        <f>_xlfn.XLOOKUP(Tabla3[[#This Row],[Nit]],Hoja2!A853:A2276,Hoja2!C853:C2276)</f>
        <v>0</v>
      </c>
      <c r="I853" s="1">
        <f>_xlfn.XLOOKUP(Tabla3[[#This Row],[Cliente]],'[1]Datos Contacto'!$A$2:$A$23,'[1]Datos Contacto'!$E$2:$E$23,0,0,1)</f>
        <v>0</v>
      </c>
    </row>
    <row r="854" spans="1:9" x14ac:dyDescent="0.25">
      <c r="A854" s="1"/>
      <c r="B854" s="1" t="s">
        <v>895</v>
      </c>
      <c r="C854" s="1"/>
      <c r="D854" s="21" t="s">
        <v>1225</v>
      </c>
      <c r="E854" s="1" t="s">
        <v>9</v>
      </c>
      <c r="F854" s="1" t="s">
        <v>1226</v>
      </c>
      <c r="G854" s="4" t="s">
        <v>11</v>
      </c>
      <c r="H854" s="9">
        <f>_xlfn.XLOOKUP(Tabla3[[#This Row],[Nit]],Hoja2!A854:A2277,Hoja2!C854:C2277)</f>
        <v>0</v>
      </c>
      <c r="I854" s="1">
        <f>_xlfn.XLOOKUP(Tabla3[[#This Row],[Cliente]],'[1]Datos Contacto'!$A$2:$A$23,'[1]Datos Contacto'!$E$2:$E$23,0,0,1)</f>
        <v>0</v>
      </c>
    </row>
    <row r="855" spans="1:9" x14ac:dyDescent="0.25">
      <c r="A855" s="1"/>
      <c r="B855" s="1" t="s">
        <v>896</v>
      </c>
      <c r="C855" s="1"/>
      <c r="D855" s="21" t="s">
        <v>1225</v>
      </c>
      <c r="E855" s="1" t="s">
        <v>984</v>
      </c>
      <c r="F855" s="1" t="s">
        <v>1226</v>
      </c>
      <c r="G855" s="4" t="s">
        <v>11</v>
      </c>
      <c r="H855" s="9">
        <f>_xlfn.XLOOKUP(Tabla3[[#This Row],[Nit]],Hoja2!A855:A2278,Hoja2!C855:C2278)</f>
        <v>0</v>
      </c>
      <c r="I855" s="1">
        <f>_xlfn.XLOOKUP(Tabla3[[#This Row],[Cliente]],'[1]Datos Contacto'!$A$2:$A$23,'[1]Datos Contacto'!$E$2:$E$23,0,0,1)</f>
        <v>0</v>
      </c>
    </row>
    <row r="856" spans="1:9" x14ac:dyDescent="0.25">
      <c r="A856" s="1"/>
      <c r="B856" s="1" t="s">
        <v>897</v>
      </c>
      <c r="C856" s="1"/>
      <c r="D856" s="21" t="s">
        <v>1225</v>
      </c>
      <c r="E856" s="1" t="s">
        <v>1017</v>
      </c>
      <c r="F856" s="1" t="s">
        <v>1226</v>
      </c>
      <c r="G856" s="4" t="s">
        <v>11</v>
      </c>
      <c r="H856" s="9">
        <f>_xlfn.XLOOKUP(Tabla3[[#This Row],[Nit]],Hoja2!A856:A2279,Hoja2!C856:C2279)</f>
        <v>0</v>
      </c>
      <c r="I856" s="1">
        <f>_xlfn.XLOOKUP(Tabla3[[#This Row],[Cliente]],'[1]Datos Contacto'!$A$2:$A$23,'[1]Datos Contacto'!$E$2:$E$23,0,0,1)</f>
        <v>0</v>
      </c>
    </row>
    <row r="857" spans="1:9" x14ac:dyDescent="0.25">
      <c r="A857" s="1"/>
      <c r="B857" s="1" t="s">
        <v>898</v>
      </c>
      <c r="C857" s="1"/>
      <c r="D857" s="21" t="s">
        <v>1225</v>
      </c>
      <c r="E857" s="1" t="s">
        <v>984</v>
      </c>
      <c r="F857" s="1" t="s">
        <v>1226</v>
      </c>
      <c r="G857" s="4" t="s">
        <v>11</v>
      </c>
      <c r="H857" s="9">
        <f>_xlfn.XLOOKUP(Tabla3[[#This Row],[Nit]],Hoja2!A857:A2280,Hoja2!C857:C2280)</f>
        <v>0</v>
      </c>
      <c r="I857" s="1">
        <f>_xlfn.XLOOKUP(Tabla3[[#This Row],[Cliente]],'[1]Datos Contacto'!$A$2:$A$23,'[1]Datos Contacto'!$E$2:$E$23,0,0,1)</f>
        <v>0</v>
      </c>
    </row>
    <row r="858" spans="1:9" x14ac:dyDescent="0.25">
      <c r="A858" s="1"/>
      <c r="B858" s="1" t="s">
        <v>899</v>
      </c>
      <c r="C858" s="1"/>
      <c r="D858" s="21" t="s">
        <v>1225</v>
      </c>
      <c r="E858" s="1" t="s">
        <v>984</v>
      </c>
      <c r="F858" s="1" t="s">
        <v>1226</v>
      </c>
      <c r="G858" s="4" t="s">
        <v>11</v>
      </c>
      <c r="H858" s="9">
        <f>_xlfn.XLOOKUP(Tabla3[[#This Row],[Nit]],Hoja2!A858:A2281,Hoja2!C858:C2281)</f>
        <v>0</v>
      </c>
      <c r="I858" s="1">
        <f>_xlfn.XLOOKUP(Tabla3[[#This Row],[Cliente]],'[1]Datos Contacto'!$A$2:$A$23,'[1]Datos Contacto'!$E$2:$E$23,0,0,1)</f>
        <v>0</v>
      </c>
    </row>
    <row r="859" spans="1:9" x14ac:dyDescent="0.25">
      <c r="A859" s="1"/>
      <c r="B859" s="1" t="s">
        <v>900</v>
      </c>
      <c r="C859" s="1" t="s">
        <v>901</v>
      </c>
      <c r="D859" s="21" t="s">
        <v>1225</v>
      </c>
      <c r="E859" s="1" t="s">
        <v>9</v>
      </c>
      <c r="F859" s="1" t="s">
        <v>1226</v>
      </c>
      <c r="G859" s="4" t="s">
        <v>11</v>
      </c>
      <c r="H859" s="9">
        <f>_xlfn.XLOOKUP(Tabla3[[#This Row],[Nit]],Hoja2!A859:A2282,Hoja2!C859:C2282)</f>
        <v>0</v>
      </c>
      <c r="I859" s="1">
        <f>_xlfn.XLOOKUP(Tabla3[[#This Row],[Cliente]],'[1]Datos Contacto'!$A$2:$A$23,'[1]Datos Contacto'!$E$2:$E$23,0,0,1)</f>
        <v>0</v>
      </c>
    </row>
    <row r="860" spans="1:9" x14ac:dyDescent="0.25">
      <c r="A860" s="1"/>
      <c r="B860" s="1" t="s">
        <v>902</v>
      </c>
      <c r="C860" s="1" t="s">
        <v>901</v>
      </c>
      <c r="D860" s="21" t="s">
        <v>1225</v>
      </c>
      <c r="E860" s="1" t="s">
        <v>9</v>
      </c>
      <c r="F860" s="1" t="s">
        <v>1226</v>
      </c>
      <c r="G860" s="4" t="s">
        <v>11</v>
      </c>
      <c r="H860" s="9">
        <f>_xlfn.XLOOKUP(Tabla3[[#This Row],[Nit]],Hoja2!A860:A2283,Hoja2!C860:C2283)</f>
        <v>0</v>
      </c>
      <c r="I860" s="1">
        <f>_xlfn.XLOOKUP(Tabla3[[#This Row],[Cliente]],'[1]Datos Contacto'!$A$2:$A$23,'[1]Datos Contacto'!$E$2:$E$23,0,0,1)</f>
        <v>0</v>
      </c>
    </row>
    <row r="861" spans="1:9" x14ac:dyDescent="0.25">
      <c r="A861" s="1"/>
      <c r="B861" s="1" t="s">
        <v>903</v>
      </c>
      <c r="C861" s="1" t="s">
        <v>901</v>
      </c>
      <c r="D861" s="21" t="s">
        <v>1225</v>
      </c>
      <c r="E861" s="1" t="s">
        <v>9</v>
      </c>
      <c r="F861" s="1" t="s">
        <v>1226</v>
      </c>
      <c r="G861" s="4" t="s">
        <v>7</v>
      </c>
      <c r="H861" s="9">
        <f>_xlfn.XLOOKUP(Tabla3[[#This Row],[Nit]],Hoja2!A861:A2284,Hoja2!C861:C2284)</f>
        <v>0</v>
      </c>
      <c r="I861" s="1">
        <f>_xlfn.XLOOKUP(Tabla3[[#This Row],[Cliente]],'[1]Datos Contacto'!$A$2:$A$23,'[1]Datos Contacto'!$E$2:$E$23,0,0,1)</f>
        <v>0</v>
      </c>
    </row>
    <row r="862" spans="1:9" x14ac:dyDescent="0.25">
      <c r="A862" s="1"/>
      <c r="B862" s="1" t="s">
        <v>904</v>
      </c>
      <c r="C862" s="1" t="s">
        <v>901</v>
      </c>
      <c r="D862" s="21" t="s">
        <v>1225</v>
      </c>
      <c r="E862" s="1" t="s">
        <v>9</v>
      </c>
      <c r="F862" s="1" t="s">
        <v>1226</v>
      </c>
      <c r="G862" s="4" t="s">
        <v>11</v>
      </c>
      <c r="H862" s="9">
        <f>_xlfn.XLOOKUP(Tabla3[[#This Row],[Nit]],Hoja2!A862:A2285,Hoja2!C862:C2285)</f>
        <v>0</v>
      </c>
      <c r="I862" s="1">
        <f>_xlfn.XLOOKUP(Tabla3[[#This Row],[Cliente]],'[1]Datos Contacto'!$A$2:$A$23,'[1]Datos Contacto'!$E$2:$E$23,0,0,1)</f>
        <v>0</v>
      </c>
    </row>
    <row r="863" spans="1:9" x14ac:dyDescent="0.25">
      <c r="A863" s="1"/>
      <c r="B863" s="1" t="s">
        <v>905</v>
      </c>
      <c r="C863" s="1" t="s">
        <v>901</v>
      </c>
      <c r="D863" s="21" t="s">
        <v>1225</v>
      </c>
      <c r="E863" s="1" t="s">
        <v>9</v>
      </c>
      <c r="F863" s="1" t="s">
        <v>1226</v>
      </c>
      <c r="G863" s="4" t="s">
        <v>7</v>
      </c>
      <c r="H863" s="9">
        <f>_xlfn.XLOOKUP(Tabla3[[#This Row],[Nit]],Hoja2!A863:A2286,Hoja2!C863:C2286)</f>
        <v>0</v>
      </c>
      <c r="I863" s="1">
        <f>_xlfn.XLOOKUP(Tabla3[[#This Row],[Cliente]],'[1]Datos Contacto'!$A$2:$A$23,'[1]Datos Contacto'!$E$2:$E$23,0,0,1)</f>
        <v>0</v>
      </c>
    </row>
    <row r="864" spans="1:9" x14ac:dyDescent="0.25">
      <c r="A864" s="1"/>
      <c r="B864" s="1" t="s">
        <v>906</v>
      </c>
      <c r="C864" s="1" t="s">
        <v>901</v>
      </c>
      <c r="D864" s="21" t="s">
        <v>1225</v>
      </c>
      <c r="E864" s="1" t="s">
        <v>9</v>
      </c>
      <c r="F864" s="1" t="s">
        <v>1226</v>
      </c>
      <c r="G864" s="4" t="s">
        <v>7</v>
      </c>
      <c r="H864" s="9">
        <f>_xlfn.XLOOKUP(Tabla3[[#This Row],[Nit]],Hoja2!A864:A2287,Hoja2!C864:C2287)</f>
        <v>0</v>
      </c>
      <c r="I864" s="1">
        <f>_xlfn.XLOOKUP(Tabla3[[#This Row],[Cliente]],'[1]Datos Contacto'!$A$2:$A$23,'[1]Datos Contacto'!$E$2:$E$23,0,0,1)</f>
        <v>0</v>
      </c>
    </row>
    <row r="865" spans="1:9" x14ac:dyDescent="0.25">
      <c r="A865" s="1">
        <v>901650087</v>
      </c>
      <c r="B865" s="1" t="s">
        <v>907</v>
      </c>
      <c r="C865" s="1"/>
      <c r="D865" s="21" t="s">
        <v>1225</v>
      </c>
      <c r="E865" s="1" t="s">
        <v>9</v>
      </c>
      <c r="F865" s="1" t="s">
        <v>1226</v>
      </c>
      <c r="G865" s="4" t="s">
        <v>7</v>
      </c>
      <c r="H865" s="9">
        <f>_xlfn.XLOOKUP(Tabla3[[#This Row],[Cliente]],Hoja2!B49:B1472,Hoja2!C49:C1472)</f>
        <v>1000000</v>
      </c>
      <c r="I865" s="1">
        <f>_xlfn.XLOOKUP(Tabla3[[#This Row],[Cliente]],'[1]Datos Contacto'!$A$2:$A$23,'[1]Datos Contacto'!$E$2:$E$23,0,0,1)</f>
        <v>0</v>
      </c>
    </row>
    <row r="866" spans="1:9" x14ac:dyDescent="0.25">
      <c r="A866" s="1"/>
      <c r="B866" s="1" t="s">
        <v>908</v>
      </c>
      <c r="C866" s="1"/>
      <c r="D866" s="21" t="s">
        <v>1225</v>
      </c>
      <c r="E866" s="1" t="s">
        <v>9</v>
      </c>
      <c r="F866" s="1" t="s">
        <v>1226</v>
      </c>
      <c r="G866" s="4" t="s">
        <v>7</v>
      </c>
      <c r="H866" s="9">
        <f>_xlfn.XLOOKUP(Tabla3[[#This Row],[Nit]],Hoja2!A866:A2289,Hoja2!C866:C2289)</f>
        <v>0</v>
      </c>
      <c r="I866" s="1">
        <f>_xlfn.XLOOKUP(Tabla3[[#This Row],[Cliente]],'[1]Datos Contacto'!$A$2:$A$23,'[1]Datos Contacto'!$E$2:$E$23,0,0,1)</f>
        <v>0</v>
      </c>
    </row>
    <row r="867" spans="1:9" x14ac:dyDescent="0.25">
      <c r="A867" s="1"/>
      <c r="B867" s="1" t="s">
        <v>909</v>
      </c>
      <c r="C867" s="1"/>
      <c r="D867" s="21" t="s">
        <v>1225</v>
      </c>
      <c r="E867" s="1" t="s">
        <v>9</v>
      </c>
      <c r="F867" s="1" t="s">
        <v>1226</v>
      </c>
      <c r="G867" s="4" t="s">
        <v>11</v>
      </c>
      <c r="H867" s="9">
        <f>_xlfn.XLOOKUP(Tabla3[[#This Row],[Nit]],Hoja2!A867:A2290,Hoja2!C867:C2290)</f>
        <v>0</v>
      </c>
      <c r="I867" s="1">
        <f>_xlfn.XLOOKUP(Tabla3[[#This Row],[Cliente]],'[1]Datos Contacto'!$A$2:$A$23,'[1]Datos Contacto'!$E$2:$E$23,0,0,1)</f>
        <v>0</v>
      </c>
    </row>
    <row r="868" spans="1:9" x14ac:dyDescent="0.25">
      <c r="A868" s="1">
        <v>901700109</v>
      </c>
      <c r="B868" s="1" t="s">
        <v>910</v>
      </c>
      <c r="C868" s="1"/>
      <c r="D868" s="21" t="s">
        <v>1225</v>
      </c>
      <c r="E868" s="1" t="s">
        <v>9</v>
      </c>
      <c r="F868" s="1" t="s">
        <v>1226</v>
      </c>
      <c r="G868" s="4" t="s">
        <v>11</v>
      </c>
      <c r="H868" s="9">
        <f>_xlfn.XLOOKUP(Tabla3[[#This Row],[Nit]],Hoja2!A868:A2291,Hoja2!C868:C2291)</f>
        <v>1000000</v>
      </c>
      <c r="I868" s="1">
        <f>_xlfn.XLOOKUP(Tabla3[[#This Row],[Cliente]],'[1]Datos Contacto'!$A$2:$A$23,'[1]Datos Contacto'!$E$2:$E$23,0,0,1)</f>
        <v>0</v>
      </c>
    </row>
    <row r="869" spans="1:9" x14ac:dyDescent="0.25">
      <c r="A869" s="1">
        <v>901554573</v>
      </c>
      <c r="B869" s="1" t="s">
        <v>911</v>
      </c>
      <c r="C869" s="1"/>
      <c r="D869" s="21" t="s">
        <v>1225</v>
      </c>
      <c r="E869" s="1" t="s">
        <v>9</v>
      </c>
      <c r="F869" s="1" t="s">
        <v>1226</v>
      </c>
      <c r="G869" s="4" t="s">
        <v>11</v>
      </c>
      <c r="H869" s="9">
        <f>_xlfn.XLOOKUP(Tabla3[[#This Row],[Nit]],Hoja2!A869:A2292,Hoja2!C869:C2292)</f>
        <v>1000000</v>
      </c>
      <c r="I869" s="1">
        <f>_xlfn.XLOOKUP(Tabla3[[#This Row],[Cliente]],'[1]Datos Contacto'!$A$2:$A$23,'[1]Datos Contacto'!$E$2:$E$23,0,0,1)</f>
        <v>0</v>
      </c>
    </row>
    <row r="870" spans="1:9" x14ac:dyDescent="0.25">
      <c r="A870" s="1"/>
      <c r="B870" s="1" t="s">
        <v>912</v>
      </c>
      <c r="C870" s="1"/>
      <c r="D870" s="21" t="s">
        <v>1225</v>
      </c>
      <c r="E870" s="1" t="s">
        <v>9</v>
      </c>
      <c r="F870" s="1" t="s">
        <v>1226</v>
      </c>
      <c r="G870" s="4" t="s">
        <v>11</v>
      </c>
      <c r="H870" s="9">
        <f>_xlfn.XLOOKUP(Tabla3[[#This Row],[Nit]],Hoja2!A870:A2293,Hoja2!C870:C2293)</f>
        <v>0</v>
      </c>
      <c r="I870" s="1">
        <f>_xlfn.XLOOKUP(Tabla3[[#This Row],[Cliente]],'[1]Datos Contacto'!$A$2:$A$23,'[1]Datos Contacto'!$E$2:$E$23,0,0,1)</f>
        <v>0</v>
      </c>
    </row>
    <row r="871" spans="1:9" x14ac:dyDescent="0.25">
      <c r="A871" s="1"/>
      <c r="B871" s="1" t="s">
        <v>913</v>
      </c>
      <c r="C871" s="1"/>
      <c r="D871" s="21" t="s">
        <v>1225</v>
      </c>
      <c r="E871" s="1" t="s">
        <v>9</v>
      </c>
      <c r="F871" s="1" t="s">
        <v>1226</v>
      </c>
      <c r="G871" s="4" t="s">
        <v>11</v>
      </c>
      <c r="H871" s="9">
        <f>_xlfn.XLOOKUP(Tabla3[[#This Row],[Nit]],Hoja2!A871:A2294,Hoja2!C871:C2294)</f>
        <v>0</v>
      </c>
      <c r="I871" s="1">
        <f>_xlfn.XLOOKUP(Tabla3[[#This Row],[Cliente]],'[1]Datos Contacto'!$A$2:$A$23,'[1]Datos Contacto'!$E$2:$E$23,0,0,1)</f>
        <v>0</v>
      </c>
    </row>
    <row r="872" spans="1:9" x14ac:dyDescent="0.25">
      <c r="A872" s="1"/>
      <c r="B872" s="1" t="s">
        <v>914</v>
      </c>
      <c r="C872" s="1"/>
      <c r="D872" s="21" t="s">
        <v>1225</v>
      </c>
      <c r="E872" s="1" t="s">
        <v>9</v>
      </c>
      <c r="F872" s="1" t="s">
        <v>1226</v>
      </c>
      <c r="G872" s="4" t="s">
        <v>11</v>
      </c>
      <c r="H872" s="9">
        <f>_xlfn.XLOOKUP(Tabla3[[#This Row],[Nit]],Hoja2!A872:A2295,Hoja2!C872:C2295)</f>
        <v>0</v>
      </c>
      <c r="I872" s="1">
        <f>_xlfn.XLOOKUP(Tabla3[[#This Row],[Cliente]],'[1]Datos Contacto'!$A$2:$A$23,'[1]Datos Contacto'!$E$2:$E$23,0,0,1)</f>
        <v>0</v>
      </c>
    </row>
    <row r="873" spans="1:9" x14ac:dyDescent="0.25">
      <c r="A873" s="1"/>
      <c r="B873" s="1" t="s">
        <v>915</v>
      </c>
      <c r="C873" s="1"/>
      <c r="D873" s="21" t="s">
        <v>1225</v>
      </c>
      <c r="E873" s="1" t="s">
        <v>9</v>
      </c>
      <c r="F873" s="1" t="s">
        <v>1226</v>
      </c>
      <c r="G873" s="4" t="s">
        <v>11</v>
      </c>
      <c r="H873" s="9">
        <f>_xlfn.XLOOKUP(Tabla3[[#This Row],[Nit]],Hoja2!A873:A2296,Hoja2!C873:C2296)</f>
        <v>0</v>
      </c>
      <c r="I873" s="1">
        <f>_xlfn.XLOOKUP(Tabla3[[#This Row],[Cliente]],'[1]Datos Contacto'!$A$2:$A$23,'[1]Datos Contacto'!$E$2:$E$23,0,0,1)</f>
        <v>0</v>
      </c>
    </row>
    <row r="874" spans="1:9" x14ac:dyDescent="0.25">
      <c r="A874" s="1"/>
      <c r="B874" s="1" t="s">
        <v>916</v>
      </c>
      <c r="C874" s="1"/>
      <c r="D874" s="21" t="s">
        <v>1225</v>
      </c>
      <c r="E874" s="1" t="s">
        <v>9</v>
      </c>
      <c r="F874" s="1" t="s">
        <v>1226</v>
      </c>
      <c r="G874" s="4" t="s">
        <v>11</v>
      </c>
      <c r="H874" s="9">
        <f>_xlfn.XLOOKUP(Tabla3[[#This Row],[Nit]],Hoja2!A874:A2297,Hoja2!C874:C2297)</f>
        <v>0</v>
      </c>
      <c r="I874" s="1">
        <f>_xlfn.XLOOKUP(Tabla3[[#This Row],[Cliente]],'[1]Datos Contacto'!$A$2:$A$23,'[1]Datos Contacto'!$E$2:$E$23,0,0,1)</f>
        <v>0</v>
      </c>
    </row>
    <row r="875" spans="1:9" x14ac:dyDescent="0.25">
      <c r="A875" s="1"/>
      <c r="B875" s="1" t="s">
        <v>917</v>
      </c>
      <c r="C875" s="1"/>
      <c r="D875" s="21" t="s">
        <v>1225</v>
      </c>
      <c r="E875" s="1" t="s">
        <v>9</v>
      </c>
      <c r="F875" s="1" t="s">
        <v>1226</v>
      </c>
      <c r="G875" s="4" t="s">
        <v>11</v>
      </c>
      <c r="H875" s="9">
        <f>_xlfn.XLOOKUP(Tabla3[[#This Row],[Nit]],Hoja2!A875:A2298,Hoja2!C875:C2298)</f>
        <v>0</v>
      </c>
      <c r="I875" s="1">
        <f>_xlfn.XLOOKUP(Tabla3[[#This Row],[Cliente]],'[1]Datos Contacto'!$A$2:$A$23,'[1]Datos Contacto'!$E$2:$E$23,0,0,1)</f>
        <v>0</v>
      </c>
    </row>
    <row r="876" spans="1:9" x14ac:dyDescent="0.25">
      <c r="A876" s="1"/>
      <c r="B876" s="1" t="s">
        <v>918</v>
      </c>
      <c r="C876" s="1"/>
      <c r="D876" s="21" t="s">
        <v>1225</v>
      </c>
      <c r="E876" s="1" t="s">
        <v>9</v>
      </c>
      <c r="F876" s="1" t="s">
        <v>1226</v>
      </c>
      <c r="G876" s="4" t="s">
        <v>11</v>
      </c>
      <c r="H876" s="9">
        <f>_xlfn.XLOOKUP(Tabla3[[#This Row],[Nit]],Hoja2!A876:A2299,Hoja2!C876:C2299)</f>
        <v>0</v>
      </c>
      <c r="I876" s="1">
        <f>_xlfn.XLOOKUP(Tabla3[[#This Row],[Cliente]],'[1]Datos Contacto'!$A$2:$A$23,'[1]Datos Contacto'!$E$2:$E$23,0,0,1)</f>
        <v>0</v>
      </c>
    </row>
    <row r="877" spans="1:9" x14ac:dyDescent="0.25">
      <c r="A877" s="1"/>
      <c r="B877" s="1" t="s">
        <v>919</v>
      </c>
      <c r="C877" s="1"/>
      <c r="D877" s="21" t="s">
        <v>1225</v>
      </c>
      <c r="E877" s="1" t="s">
        <v>9</v>
      </c>
      <c r="F877" s="1" t="s">
        <v>1226</v>
      </c>
      <c r="G877" s="4" t="s">
        <v>11</v>
      </c>
      <c r="H877" s="9">
        <f>_xlfn.XLOOKUP(Tabla3[[#This Row],[Nit]],Hoja2!A877:A2300,Hoja2!C877:C2300)</f>
        <v>0</v>
      </c>
      <c r="I877" s="1">
        <f>_xlfn.XLOOKUP(Tabla3[[#This Row],[Cliente]],'[1]Datos Contacto'!$A$2:$A$23,'[1]Datos Contacto'!$E$2:$E$23,0,0,1)</f>
        <v>0</v>
      </c>
    </row>
    <row r="878" spans="1:9" x14ac:dyDescent="0.25">
      <c r="A878" s="1"/>
      <c r="B878" s="1" t="s">
        <v>920</v>
      </c>
      <c r="C878" s="1"/>
      <c r="D878" s="21" t="s">
        <v>1225</v>
      </c>
      <c r="E878" s="1" t="s">
        <v>9</v>
      </c>
      <c r="F878" s="1" t="s">
        <v>1226</v>
      </c>
      <c r="G878" s="4" t="s">
        <v>11</v>
      </c>
      <c r="H878" s="9">
        <f>_xlfn.XLOOKUP(Tabla3[[#This Row],[Nit]],Hoja2!A878:A2301,Hoja2!C878:C2301)</f>
        <v>0</v>
      </c>
      <c r="I878" s="1">
        <f>_xlfn.XLOOKUP(Tabla3[[#This Row],[Cliente]],'[1]Datos Contacto'!$A$2:$A$23,'[1]Datos Contacto'!$E$2:$E$23,0,0,1)</f>
        <v>0</v>
      </c>
    </row>
    <row r="879" spans="1:9" x14ac:dyDescent="0.25">
      <c r="A879" s="1"/>
      <c r="B879" s="1" t="s">
        <v>921</v>
      </c>
      <c r="C879" s="1"/>
      <c r="D879" s="21" t="s">
        <v>1225</v>
      </c>
      <c r="E879" s="1" t="s">
        <v>1223</v>
      </c>
      <c r="F879" s="1" t="s">
        <v>1226</v>
      </c>
      <c r="G879" s="1" t="s">
        <v>20</v>
      </c>
      <c r="H879" s="9">
        <f>_xlfn.XLOOKUP(Tabla3[[#This Row],[Nit]],Hoja2!A879:A2302,Hoja2!C879:C2302)</f>
        <v>0</v>
      </c>
      <c r="I879" s="1" t="str">
        <f>_xlfn.XLOOKUP(Tabla3[[#This Row],[Cliente]],'[1]Datos Contacto'!$A$2:$A$23,'[1]Datos Contacto'!$E$2:$E$23,0,0,1)</f>
        <v>admon@inversionessantamaria.co</v>
      </c>
    </row>
    <row r="880" spans="1:9" x14ac:dyDescent="0.25">
      <c r="A880" s="1"/>
      <c r="B880" s="1" t="s">
        <v>922</v>
      </c>
      <c r="C880" s="1"/>
      <c r="D880" s="21" t="s">
        <v>1225</v>
      </c>
      <c r="E880" s="1" t="s">
        <v>9</v>
      </c>
      <c r="F880" s="1" t="s">
        <v>1226</v>
      </c>
      <c r="G880" s="4" t="s">
        <v>11</v>
      </c>
      <c r="H880" s="9">
        <f>_xlfn.XLOOKUP(Tabla3[[#This Row],[Nit]],Hoja2!A880:A2303,Hoja2!C880:C2303)</f>
        <v>0</v>
      </c>
      <c r="I880" s="1">
        <f>_xlfn.XLOOKUP(Tabla3[[#This Row],[Cliente]],'[1]Datos Contacto'!$A$2:$A$23,'[1]Datos Contacto'!$E$2:$E$23,0,0,1)</f>
        <v>0</v>
      </c>
    </row>
    <row r="881" spans="1:9" x14ac:dyDescent="0.25">
      <c r="A881" s="1"/>
      <c r="B881" s="1" t="s">
        <v>923</v>
      </c>
      <c r="C881" s="1"/>
      <c r="D881" s="21" t="s">
        <v>1225</v>
      </c>
      <c r="E881" s="1" t="s">
        <v>9</v>
      </c>
      <c r="F881" s="1" t="s">
        <v>1226</v>
      </c>
      <c r="G881" s="4" t="s">
        <v>11</v>
      </c>
      <c r="H881" s="9">
        <f>_xlfn.XLOOKUP(Tabla3[[#This Row],[Nit]],Hoja2!A881:A2304,Hoja2!C881:C2304)</f>
        <v>0</v>
      </c>
      <c r="I881" s="1">
        <f>_xlfn.XLOOKUP(Tabla3[[#This Row],[Cliente]],'[1]Datos Contacto'!$A$2:$A$23,'[1]Datos Contacto'!$E$2:$E$23,0,0,1)</f>
        <v>0</v>
      </c>
    </row>
    <row r="882" spans="1:9" x14ac:dyDescent="0.25">
      <c r="A882" s="1"/>
      <c r="B882" s="1" t="s">
        <v>924</v>
      </c>
      <c r="C882" s="1"/>
      <c r="D882" s="21" t="s">
        <v>1225</v>
      </c>
      <c r="E882" s="1" t="s">
        <v>9</v>
      </c>
      <c r="F882" s="1" t="s">
        <v>1226</v>
      </c>
      <c r="G882" s="4" t="s">
        <v>11</v>
      </c>
      <c r="H882" s="9">
        <f>_xlfn.XLOOKUP(Tabla3[[#This Row],[Nit]],Hoja2!A882:A2305,Hoja2!C882:C2305)</f>
        <v>0</v>
      </c>
      <c r="I882" s="1">
        <f>_xlfn.XLOOKUP(Tabla3[[#This Row],[Cliente]],'[1]Datos Contacto'!$A$2:$A$23,'[1]Datos Contacto'!$E$2:$E$23,0,0,1)</f>
        <v>0</v>
      </c>
    </row>
    <row r="883" spans="1:9" x14ac:dyDescent="0.25">
      <c r="A883" s="1"/>
      <c r="B883" s="1" t="s">
        <v>925</v>
      </c>
      <c r="C883" s="1"/>
      <c r="D883" s="21" t="s">
        <v>1225</v>
      </c>
      <c r="E883" s="1" t="s">
        <v>9</v>
      </c>
      <c r="F883" s="1" t="s">
        <v>1226</v>
      </c>
      <c r="G883" s="4" t="s">
        <v>11</v>
      </c>
      <c r="H883" s="9">
        <f>_xlfn.XLOOKUP(Tabla3[[#This Row],[Nit]],Hoja2!A883:A2306,Hoja2!C883:C2306)</f>
        <v>0</v>
      </c>
      <c r="I883" s="1">
        <f>_xlfn.XLOOKUP(Tabla3[[#This Row],[Cliente]],'[1]Datos Contacto'!$A$2:$A$23,'[1]Datos Contacto'!$E$2:$E$23,0,0,1)</f>
        <v>0</v>
      </c>
    </row>
    <row r="884" spans="1:9" x14ac:dyDescent="0.25">
      <c r="A884" s="1"/>
      <c r="B884" s="1" t="s">
        <v>926</v>
      </c>
      <c r="C884" s="1"/>
      <c r="D884" s="21" t="s">
        <v>1225</v>
      </c>
      <c r="E884" s="1" t="s">
        <v>9</v>
      </c>
      <c r="F884" s="1" t="s">
        <v>1226</v>
      </c>
      <c r="G884" s="4" t="s">
        <v>11</v>
      </c>
      <c r="H884" s="9">
        <f>_xlfn.XLOOKUP(Tabla3[[#This Row],[Nit]],Hoja2!A884:A2307,Hoja2!C884:C2307)</f>
        <v>0</v>
      </c>
      <c r="I884" s="1">
        <f>_xlfn.XLOOKUP(Tabla3[[#This Row],[Cliente]],'[1]Datos Contacto'!$A$2:$A$23,'[1]Datos Contacto'!$E$2:$E$23,0,0,1)</f>
        <v>0</v>
      </c>
    </row>
    <row r="885" spans="1:9" x14ac:dyDescent="0.25">
      <c r="A885" s="1"/>
      <c r="B885" s="1" t="s">
        <v>927</v>
      </c>
      <c r="C885" s="1"/>
      <c r="D885" s="21" t="s">
        <v>1225</v>
      </c>
      <c r="E885" s="1" t="s">
        <v>9</v>
      </c>
      <c r="F885" s="1" t="s">
        <v>1226</v>
      </c>
      <c r="G885" s="4" t="s">
        <v>11</v>
      </c>
      <c r="H885" s="9">
        <f>_xlfn.XLOOKUP(Tabla3[[#This Row],[Nit]],Hoja2!A885:A2308,Hoja2!C885:C2308)</f>
        <v>0</v>
      </c>
      <c r="I885" s="1">
        <f>_xlfn.XLOOKUP(Tabla3[[#This Row],[Cliente]],'[1]Datos Contacto'!$A$2:$A$23,'[1]Datos Contacto'!$E$2:$E$23,0,0,1)</f>
        <v>0</v>
      </c>
    </row>
    <row r="886" spans="1:9" x14ac:dyDescent="0.25">
      <c r="A886" s="1"/>
      <c r="B886" s="1" t="s">
        <v>928</v>
      </c>
      <c r="C886" s="1"/>
      <c r="D886" s="21" t="s">
        <v>1225</v>
      </c>
      <c r="E886" s="1" t="s">
        <v>9</v>
      </c>
      <c r="F886" s="1" t="s">
        <v>1226</v>
      </c>
      <c r="G886" s="4" t="s">
        <v>11</v>
      </c>
      <c r="H886" s="9">
        <f>_xlfn.XLOOKUP(Tabla3[[#This Row],[Nit]],Hoja2!A886:A2309,Hoja2!C886:C2309)</f>
        <v>0</v>
      </c>
      <c r="I886" s="1">
        <f>_xlfn.XLOOKUP(Tabla3[[#This Row],[Cliente]],'[1]Datos Contacto'!$A$2:$A$23,'[1]Datos Contacto'!$E$2:$E$23,0,0,1)</f>
        <v>0</v>
      </c>
    </row>
    <row r="887" spans="1:9" x14ac:dyDescent="0.25">
      <c r="A887" s="1"/>
      <c r="B887" s="1" t="s">
        <v>929</v>
      </c>
      <c r="C887" s="1"/>
      <c r="D887" s="21" t="s">
        <v>1225</v>
      </c>
      <c r="E887" s="1" t="s">
        <v>9</v>
      </c>
      <c r="F887" s="1" t="s">
        <v>1226</v>
      </c>
      <c r="G887" s="4" t="s">
        <v>11</v>
      </c>
      <c r="H887" s="9">
        <f>_xlfn.XLOOKUP(Tabla3[[#This Row],[Nit]],Hoja2!A887:A2310,Hoja2!C887:C2310)</f>
        <v>0</v>
      </c>
      <c r="I887" s="1">
        <f>_xlfn.XLOOKUP(Tabla3[[#This Row],[Cliente]],'[1]Datos Contacto'!$A$2:$A$23,'[1]Datos Contacto'!$E$2:$E$23,0,0,1)</f>
        <v>0</v>
      </c>
    </row>
    <row r="888" spans="1:9" x14ac:dyDescent="0.25">
      <c r="A888" s="1"/>
      <c r="B888" s="1" t="s">
        <v>930</v>
      </c>
      <c r="C888" s="1"/>
      <c r="D888" s="21" t="s">
        <v>1225</v>
      </c>
      <c r="E888" s="1" t="s">
        <v>9</v>
      </c>
      <c r="F888" s="1" t="s">
        <v>1226</v>
      </c>
      <c r="G888" s="4" t="s">
        <v>11</v>
      </c>
      <c r="H888" s="9">
        <f>_xlfn.XLOOKUP(Tabla3[[#This Row],[Nit]],Hoja2!A888:A2311,Hoja2!C888:C2311)</f>
        <v>0</v>
      </c>
      <c r="I888" s="1">
        <f>_xlfn.XLOOKUP(Tabla3[[#This Row],[Cliente]],'[1]Datos Contacto'!$A$2:$A$23,'[1]Datos Contacto'!$E$2:$E$23,0,0,1)</f>
        <v>0</v>
      </c>
    </row>
    <row r="889" spans="1:9" x14ac:dyDescent="0.25">
      <c r="A889" s="1"/>
      <c r="B889" s="1" t="s">
        <v>931</v>
      </c>
      <c r="C889" s="1"/>
      <c r="D889" s="21" t="s">
        <v>1225</v>
      </c>
      <c r="E889" s="1" t="s">
        <v>79</v>
      </c>
      <c r="F889" s="1" t="s">
        <v>1226</v>
      </c>
      <c r="G889" s="4" t="s">
        <v>7</v>
      </c>
      <c r="H889" s="9">
        <f>_xlfn.XLOOKUP(Tabla3[[#This Row],[Nit]],Hoja2!A889:A2312,Hoja2!C889:C2312)</f>
        <v>0</v>
      </c>
      <c r="I889" s="1" t="s">
        <v>1224</v>
      </c>
    </row>
    <row r="890" spans="1:9" x14ac:dyDescent="0.25">
      <c r="A890" s="1"/>
      <c r="B890" s="1" t="s">
        <v>932</v>
      </c>
      <c r="C890" s="1"/>
      <c r="D890" s="21" t="s">
        <v>1225</v>
      </c>
      <c r="E890" s="1" t="s">
        <v>9</v>
      </c>
      <c r="F890" s="1" t="s">
        <v>1226</v>
      </c>
      <c r="G890" s="4" t="s">
        <v>11</v>
      </c>
      <c r="H890" s="9">
        <f>_xlfn.XLOOKUP(Tabla3[[#This Row],[Nit]],Hoja2!A890:A2313,Hoja2!C890:C2313)</f>
        <v>0</v>
      </c>
      <c r="I890" s="1">
        <f>_xlfn.XLOOKUP(Tabla3[[#This Row],[Cliente]],'[1]Datos Contacto'!$A$2:$A$23,'[1]Datos Contacto'!$E$2:$E$23,0,0,1)</f>
        <v>0</v>
      </c>
    </row>
    <row r="891" spans="1:9" x14ac:dyDescent="0.25">
      <c r="A891" s="1" t="s">
        <v>933</v>
      </c>
      <c r="B891" s="1" t="s">
        <v>405</v>
      </c>
      <c r="C891" s="1"/>
      <c r="D891" s="21" t="s">
        <v>1225</v>
      </c>
      <c r="E891" s="1" t="s">
        <v>79</v>
      </c>
      <c r="F891" s="1" t="s">
        <v>1226</v>
      </c>
      <c r="G891" s="1" t="s">
        <v>7</v>
      </c>
      <c r="H891" s="9">
        <f>_xlfn.XLOOKUP(Tabla3[[#This Row],[Cliente]],Hoja2!B75:B1498,Hoja2!C75:C1498)</f>
        <v>5000000</v>
      </c>
      <c r="I891" s="1">
        <f>_xlfn.XLOOKUP(Tabla3[[#This Row],[Cliente]],'[1]Datos Contacto'!$A$2:$A$23,'[1]Datos Contacto'!$E$2:$E$23,0,0,1)</f>
        <v>0</v>
      </c>
    </row>
    <row r="892" spans="1:9" x14ac:dyDescent="0.25">
      <c r="A892" s="1" t="s">
        <v>934</v>
      </c>
      <c r="B892" s="1" t="s">
        <v>935</v>
      </c>
      <c r="C892" s="1"/>
      <c r="D892" s="21" t="s">
        <v>1225</v>
      </c>
      <c r="E892" s="1" t="s">
        <v>79</v>
      </c>
      <c r="F892" s="1" t="s">
        <v>1226</v>
      </c>
      <c r="G892" s="1" t="s">
        <v>7</v>
      </c>
      <c r="H892" s="9">
        <f>_xlfn.XLOOKUP(Tabla3[[#This Row],[Cliente]],Hoja2!B76:B1499,Hoja2!C76:C1499)</f>
        <v>15000000</v>
      </c>
      <c r="I892" s="1">
        <f>_xlfn.XLOOKUP(Tabla3[[#This Row],[Cliente]],'[1]Datos Contacto'!$A$2:$A$23,'[1]Datos Contacto'!$E$2:$E$23,0,0,1)</f>
        <v>0</v>
      </c>
    </row>
    <row r="893" spans="1:9" x14ac:dyDescent="0.25">
      <c r="A893" s="1" t="s">
        <v>936</v>
      </c>
      <c r="B893" s="1" t="s">
        <v>937</v>
      </c>
      <c r="C893" s="1"/>
      <c r="D893" s="21" t="s">
        <v>1225</v>
      </c>
      <c r="E893" s="1" t="s">
        <v>79</v>
      </c>
      <c r="F893" s="1" t="s">
        <v>1226</v>
      </c>
      <c r="G893" s="1" t="s">
        <v>7</v>
      </c>
      <c r="H893" s="9">
        <f>_xlfn.XLOOKUP(Tabla3[[#This Row],[Cliente]],Hoja2!B77:B1500,Hoja2!C77:C1500)</f>
        <v>0</v>
      </c>
      <c r="I893" s="1">
        <f>_xlfn.XLOOKUP(Tabla3[[#This Row],[Cliente]],'[1]Datos Contacto'!$A$2:$A$23,'[1]Datos Contacto'!$E$2:$E$23,0,0,1)</f>
        <v>0</v>
      </c>
    </row>
    <row r="894" spans="1:9" x14ac:dyDescent="0.25">
      <c r="A894" s="1" t="s">
        <v>938</v>
      </c>
      <c r="B894" s="1" t="s">
        <v>939</v>
      </c>
      <c r="C894" s="1"/>
      <c r="D894" s="21" t="s">
        <v>1225</v>
      </c>
      <c r="E894" s="1" t="s">
        <v>79</v>
      </c>
      <c r="F894" s="1" t="s">
        <v>1226</v>
      </c>
      <c r="G894" s="1" t="s">
        <v>7</v>
      </c>
      <c r="H894" s="9">
        <v>10000000</v>
      </c>
      <c r="I894" s="1">
        <f>_xlfn.XLOOKUP(Tabla3[[#This Row],[Cliente]],'[1]Datos Contacto'!$A$2:$A$23,'[1]Datos Contacto'!$E$2:$E$23,0,0,1)</f>
        <v>0</v>
      </c>
    </row>
    <row r="895" spans="1:9" x14ac:dyDescent="0.25">
      <c r="A895" s="1" t="s">
        <v>940</v>
      </c>
      <c r="B895" s="1" t="s">
        <v>941</v>
      </c>
      <c r="C895" s="1"/>
      <c r="D895" s="21" t="s">
        <v>1225</v>
      </c>
      <c r="E895" s="1" t="s">
        <v>9</v>
      </c>
      <c r="F895" s="1" t="s">
        <v>1226</v>
      </c>
      <c r="G895" s="1" t="s">
        <v>11</v>
      </c>
      <c r="H895" s="9">
        <v>1000000</v>
      </c>
      <c r="I895" s="1">
        <f>_xlfn.XLOOKUP(Tabla3[[#This Row],[Cliente]],'[1]Datos Contacto'!$A$2:$A$23,'[1]Datos Contacto'!$E$2:$E$23,0,0,1)</f>
        <v>0</v>
      </c>
    </row>
    <row r="896" spans="1:9" x14ac:dyDescent="0.25">
      <c r="A896" s="1" t="s">
        <v>942</v>
      </c>
      <c r="B896" s="1" t="s">
        <v>943</v>
      </c>
      <c r="C896" s="1"/>
      <c r="D896" s="21" t="s">
        <v>1225</v>
      </c>
      <c r="E896" s="1" t="s">
        <v>9</v>
      </c>
      <c r="F896" s="1" t="s">
        <v>1226</v>
      </c>
      <c r="G896" s="1" t="s">
        <v>11</v>
      </c>
      <c r="H896" s="9">
        <f>_xlfn.XLOOKUP(Tabla3[[#This Row],[Cliente]],Hoja2!B80:B1503,Hoja2!C80:C1503)</f>
        <v>1000000</v>
      </c>
      <c r="I896" s="1">
        <f>_xlfn.XLOOKUP(Tabla3[[#This Row],[Cliente]],'[1]Datos Contacto'!$A$2:$A$23,'[1]Datos Contacto'!$E$2:$E$23,0,0,1)</f>
        <v>0</v>
      </c>
    </row>
    <row r="897" spans="1:9" x14ac:dyDescent="0.25">
      <c r="A897" s="1" t="s">
        <v>944</v>
      </c>
      <c r="B897" s="1" t="s">
        <v>945</v>
      </c>
      <c r="C897" s="1"/>
      <c r="D897" s="21" t="s">
        <v>1225</v>
      </c>
      <c r="E897" s="1" t="s">
        <v>9</v>
      </c>
      <c r="F897" s="1" t="s">
        <v>1226</v>
      </c>
      <c r="G897" s="1" t="s">
        <v>11</v>
      </c>
      <c r="H897" s="9">
        <f>_xlfn.XLOOKUP(Tabla3[[#This Row],[Cliente]],Hoja2!B81:B1504,Hoja2!C81:C1504)</f>
        <v>0</v>
      </c>
      <c r="I897" s="1">
        <f>_xlfn.XLOOKUP(Tabla3[[#This Row],[Cliente]],'[1]Datos Contacto'!$A$2:$A$23,'[1]Datos Contacto'!$E$2:$E$23,0,0,1)</f>
        <v>0</v>
      </c>
    </row>
    <row r="898" spans="1:9" x14ac:dyDescent="0.25">
      <c r="A898" s="1" t="s">
        <v>946</v>
      </c>
      <c r="B898" s="1" t="s">
        <v>947</v>
      </c>
      <c r="C898" s="1"/>
      <c r="D898" s="21" t="s">
        <v>1225</v>
      </c>
      <c r="E898" s="1" t="s">
        <v>79</v>
      </c>
      <c r="F898" s="1" t="s">
        <v>1226</v>
      </c>
      <c r="G898" s="1" t="s">
        <v>7</v>
      </c>
      <c r="H898" s="9">
        <f>_xlfn.XLOOKUP(Tabla3[[#This Row],[Cliente]],Hoja2!B82:B1505,Hoja2!C82:C1505)</f>
        <v>500000</v>
      </c>
      <c r="I898" s="1">
        <f>_xlfn.XLOOKUP(Tabla3[[#This Row],[Cliente]],'[1]Datos Contacto'!$A$2:$A$23,'[1]Datos Contacto'!$E$2:$E$23,0,0,1)</f>
        <v>0</v>
      </c>
    </row>
    <row r="899" spans="1:9" x14ac:dyDescent="0.25">
      <c r="A899" s="1" t="s">
        <v>948</v>
      </c>
      <c r="B899" s="1" t="s">
        <v>949</v>
      </c>
      <c r="C899" s="1"/>
      <c r="D899" s="21" t="s">
        <v>1225</v>
      </c>
      <c r="E899" s="1" t="s">
        <v>9</v>
      </c>
      <c r="F899" s="1" t="s">
        <v>1226</v>
      </c>
      <c r="G899" s="1" t="s">
        <v>20</v>
      </c>
      <c r="H899" s="9">
        <f>_xlfn.XLOOKUP(Tabla3[[#This Row],[Cliente]],Hoja2!B83:B1506,Hoja2!C83:C1506)</f>
        <v>1000000</v>
      </c>
      <c r="I899" s="1">
        <f>_xlfn.XLOOKUP(Tabla3[[#This Row],[Cliente]],'[1]Datos Contacto'!$A$2:$A$23,'[1]Datos Contacto'!$E$2:$E$23,0,0,1)</f>
        <v>0</v>
      </c>
    </row>
    <row r="900" spans="1:9" x14ac:dyDescent="0.25">
      <c r="A900" s="1" t="s">
        <v>950</v>
      </c>
      <c r="B900" s="1" t="s">
        <v>951</v>
      </c>
      <c r="C900" s="1"/>
      <c r="D900" s="21" t="s">
        <v>1225</v>
      </c>
      <c r="E900" s="1" t="s">
        <v>9</v>
      </c>
      <c r="F900" s="1" t="s">
        <v>1226</v>
      </c>
      <c r="G900" s="1" t="s">
        <v>11</v>
      </c>
      <c r="H900" s="9">
        <f>_xlfn.XLOOKUP(Tabla3[[#This Row],[Cliente]],Hoja2!B84:B1507,Hoja2!C84:C1507)</f>
        <v>0</v>
      </c>
      <c r="I900" s="1">
        <f>_xlfn.XLOOKUP(Tabla3[[#This Row],[Cliente]],'[1]Datos Contacto'!$A$2:$A$23,'[1]Datos Contacto'!$E$2:$E$23,0,0,1)</f>
        <v>0</v>
      </c>
    </row>
    <row r="901" spans="1:9" x14ac:dyDescent="0.25">
      <c r="A901" s="1" t="s">
        <v>952</v>
      </c>
      <c r="B901" s="1" t="s">
        <v>953</v>
      </c>
      <c r="C901" s="1"/>
      <c r="D901" s="21" t="s">
        <v>1225</v>
      </c>
      <c r="E901" s="1" t="s">
        <v>9</v>
      </c>
      <c r="F901" s="1" t="s">
        <v>1226</v>
      </c>
      <c r="G901" s="1" t="s">
        <v>20</v>
      </c>
      <c r="H901" s="9">
        <f>_xlfn.XLOOKUP(Tabla3[[#This Row],[Cliente]],Hoja2!B85:B1508,Hoja2!C85:C1508)</f>
        <v>10000000</v>
      </c>
      <c r="I901" s="1">
        <f>_xlfn.XLOOKUP(Tabla3[[#This Row],[Cliente]],'[1]Datos Contacto'!$A$2:$A$23,'[1]Datos Contacto'!$E$2:$E$23,0,0,1)</f>
        <v>0</v>
      </c>
    </row>
    <row r="902" spans="1:9" x14ac:dyDescent="0.25">
      <c r="A902" s="1" t="s">
        <v>954</v>
      </c>
      <c r="B902" s="1" t="s">
        <v>955</v>
      </c>
      <c r="C902" s="1"/>
      <c r="D902" s="21" t="s">
        <v>1225</v>
      </c>
      <c r="E902" s="1" t="s">
        <v>9</v>
      </c>
      <c r="F902" s="1" t="s">
        <v>1226</v>
      </c>
      <c r="G902" s="1" t="s">
        <v>11</v>
      </c>
      <c r="H902" s="9">
        <f>_xlfn.XLOOKUP(Tabla3[[#This Row],[Cliente]],Hoja2!B86:B1509,Hoja2!C86:C1509)</f>
        <v>5000000</v>
      </c>
      <c r="I902" s="1">
        <f>_xlfn.XLOOKUP(Tabla3[[#This Row],[Cliente]],'[1]Datos Contacto'!$A$2:$A$23,'[1]Datos Contacto'!$E$2:$E$23,0,0,1)</f>
        <v>0</v>
      </c>
    </row>
    <row r="903" spans="1:9" x14ac:dyDescent="0.25">
      <c r="A903" s="1" t="s">
        <v>956</v>
      </c>
      <c r="B903" s="1" t="s">
        <v>957</v>
      </c>
      <c r="C903" s="1"/>
      <c r="D903" s="21" t="s">
        <v>1225</v>
      </c>
      <c r="E903" s="1" t="s">
        <v>9</v>
      </c>
      <c r="F903" s="1" t="s">
        <v>1226</v>
      </c>
      <c r="G903" s="1" t="s">
        <v>11</v>
      </c>
      <c r="H903" s="9">
        <f>_xlfn.XLOOKUP(Tabla3[[#This Row],[Cliente]],Hoja2!B87:B1510,Hoja2!C87:C1510)</f>
        <v>1000000</v>
      </c>
      <c r="I903" s="1">
        <f>_xlfn.XLOOKUP(Tabla3[[#This Row],[Cliente]],'[1]Datos Contacto'!$A$2:$A$23,'[1]Datos Contacto'!$E$2:$E$23,0,0,1)</f>
        <v>0</v>
      </c>
    </row>
    <row r="904" spans="1:9" x14ac:dyDescent="0.25">
      <c r="A904" s="1" t="s">
        <v>958</v>
      </c>
      <c r="B904" s="1" t="s">
        <v>959</v>
      </c>
      <c r="C904" s="1"/>
      <c r="D904" s="21" t="s">
        <v>1225</v>
      </c>
      <c r="E904" s="1" t="s">
        <v>9</v>
      </c>
      <c r="F904" s="1" t="s">
        <v>1226</v>
      </c>
      <c r="G904" s="1" t="s">
        <v>11</v>
      </c>
      <c r="H904" s="9">
        <f>_xlfn.XLOOKUP(Tabla3[[#This Row],[Cliente]],Hoja2!B88:B1511,Hoja2!C88:C1511)</f>
        <v>0</v>
      </c>
      <c r="I904" s="1">
        <f>_xlfn.XLOOKUP(Tabla3[[#This Row],[Cliente]],'[1]Datos Contacto'!$A$2:$A$23,'[1]Datos Contacto'!$E$2:$E$23,0,0,1)</f>
        <v>0</v>
      </c>
    </row>
    <row r="905" spans="1:9" x14ac:dyDescent="0.25">
      <c r="A905" s="1" t="s">
        <v>960</v>
      </c>
      <c r="B905" s="1" t="s">
        <v>961</v>
      </c>
      <c r="C905" s="1"/>
      <c r="D905" s="21" t="s">
        <v>1225</v>
      </c>
      <c r="E905" s="1" t="s">
        <v>9</v>
      </c>
      <c r="F905" s="1" t="s">
        <v>1226</v>
      </c>
      <c r="G905" s="1" t="s">
        <v>11</v>
      </c>
      <c r="H905" s="9">
        <f>_xlfn.XLOOKUP(Tabla3[[#This Row],[Cliente]],Hoja2!B89:B1512,Hoja2!C89:C1512)</f>
        <v>1000000</v>
      </c>
      <c r="I905" s="1">
        <f>_xlfn.XLOOKUP(Tabla3[[#This Row],[Cliente]],'[1]Datos Contacto'!$A$2:$A$23,'[1]Datos Contacto'!$E$2:$E$23,0,0,1)</f>
        <v>0</v>
      </c>
    </row>
    <row r="906" spans="1:9" x14ac:dyDescent="0.25">
      <c r="A906" s="1" t="s">
        <v>962</v>
      </c>
      <c r="B906" s="1" t="s">
        <v>963</v>
      </c>
      <c r="C906" s="1"/>
      <c r="D906" s="21" t="s">
        <v>1225</v>
      </c>
      <c r="E906" s="1" t="s">
        <v>9</v>
      </c>
      <c r="F906" s="1" t="s">
        <v>1226</v>
      </c>
      <c r="G906" s="1" t="s">
        <v>11</v>
      </c>
      <c r="H906" s="9">
        <f>_xlfn.XLOOKUP(Tabla3[[#This Row],[Cliente]],Hoja2!B90:B1513,Hoja2!C90:C1513)</f>
        <v>1000000</v>
      </c>
      <c r="I906" s="1">
        <f>_xlfn.XLOOKUP(Tabla3[[#This Row],[Cliente]],'[1]Datos Contacto'!$A$2:$A$23,'[1]Datos Contacto'!$E$2:$E$23,0,0,1)</f>
        <v>0</v>
      </c>
    </row>
    <row r="907" spans="1:9" x14ac:dyDescent="0.25">
      <c r="A907" s="1" t="s">
        <v>964</v>
      </c>
      <c r="B907" s="1" t="s">
        <v>965</v>
      </c>
      <c r="C907" s="1"/>
      <c r="D907" s="21" t="s">
        <v>1225</v>
      </c>
      <c r="E907" s="1" t="s">
        <v>9</v>
      </c>
      <c r="F907" s="1" t="s">
        <v>1226</v>
      </c>
      <c r="G907" s="1" t="s">
        <v>11</v>
      </c>
      <c r="H907" s="9">
        <f>_xlfn.XLOOKUP(Tabla3[[#This Row],[Cliente]],Hoja2!B91:B1514,Hoja2!C91:C1514)</f>
        <v>2000000</v>
      </c>
      <c r="I907" s="1">
        <f>_xlfn.XLOOKUP(Tabla3[[#This Row],[Cliente]],'[1]Datos Contacto'!$A$2:$A$23,'[1]Datos Contacto'!$E$2:$E$23,0,0,1)</f>
        <v>0</v>
      </c>
    </row>
    <row r="908" spans="1:9" x14ac:dyDescent="0.25">
      <c r="A908" s="1" t="s">
        <v>966</v>
      </c>
      <c r="B908" s="1" t="s">
        <v>967</v>
      </c>
      <c r="C908" s="1"/>
      <c r="D908" s="21" t="s">
        <v>1225</v>
      </c>
      <c r="E908" s="1" t="s">
        <v>9</v>
      </c>
      <c r="F908" s="1" t="s">
        <v>1226</v>
      </c>
      <c r="G908" s="1" t="s">
        <v>7</v>
      </c>
      <c r="H908" s="9">
        <f>_xlfn.XLOOKUP(Tabla3[[#This Row],[Cliente]],Hoja2!B92:B1515,Hoja2!C92:C1515)</f>
        <v>5000000</v>
      </c>
      <c r="I908" s="1">
        <f>_xlfn.XLOOKUP(Tabla3[[#This Row],[Cliente]],'[1]Datos Contacto'!$A$2:$A$23,'[1]Datos Contacto'!$E$2:$E$23,0,0,1)</f>
        <v>0</v>
      </c>
    </row>
    <row r="909" spans="1:9" x14ac:dyDescent="0.25">
      <c r="A909" s="1" t="s">
        <v>968</v>
      </c>
      <c r="B909" s="1" t="s">
        <v>969</v>
      </c>
      <c r="C909" s="1"/>
      <c r="D909" s="21" t="s">
        <v>1225</v>
      </c>
      <c r="E909" s="1" t="s">
        <v>9</v>
      </c>
      <c r="F909" s="1" t="s">
        <v>1226</v>
      </c>
      <c r="G909" s="1" t="s">
        <v>11</v>
      </c>
      <c r="H909" s="9">
        <f>_xlfn.XLOOKUP(Tabla3[[#This Row],[Cliente]],Hoja2!B93:B1516,Hoja2!C93:C1516)</f>
        <v>3000000</v>
      </c>
      <c r="I909" s="1">
        <f>_xlfn.XLOOKUP(Tabla3[[#This Row],[Cliente]],'[1]Datos Contacto'!$A$2:$A$23,'[1]Datos Contacto'!$E$2:$E$23,0,0,1)</f>
        <v>0</v>
      </c>
    </row>
    <row r="910" spans="1:9" x14ac:dyDescent="0.25">
      <c r="A910" s="1" t="s">
        <v>970</v>
      </c>
      <c r="B910" s="1" t="s">
        <v>971</v>
      </c>
      <c r="C910" s="1"/>
      <c r="D910" s="21" t="s">
        <v>1225</v>
      </c>
      <c r="E910" s="1" t="s">
        <v>9</v>
      </c>
      <c r="F910" s="1" t="s">
        <v>1226</v>
      </c>
      <c r="G910" s="1" t="s">
        <v>11</v>
      </c>
      <c r="H910" s="9">
        <v>0</v>
      </c>
      <c r="I910" s="1">
        <f>_xlfn.XLOOKUP(Tabla3[[#This Row],[Cliente]],'[1]Datos Contacto'!$A$2:$A$23,'[1]Datos Contacto'!$E$2:$E$23,0,0,1)</f>
        <v>0</v>
      </c>
    </row>
    <row r="911" spans="1:9" x14ac:dyDescent="0.25">
      <c r="A911" s="1" t="s">
        <v>972</v>
      </c>
      <c r="B911" s="1" t="s">
        <v>973</v>
      </c>
      <c r="C911" s="1"/>
      <c r="D911" s="21" t="s">
        <v>1225</v>
      </c>
      <c r="E911" s="1" t="s">
        <v>9</v>
      </c>
      <c r="F911" s="1" t="s">
        <v>1226</v>
      </c>
      <c r="G911" s="1" t="s">
        <v>11</v>
      </c>
      <c r="H911" s="9">
        <v>0</v>
      </c>
      <c r="I911" s="1">
        <f>_xlfn.XLOOKUP(Tabla3[[#This Row],[Cliente]],'[1]Datos Contacto'!$A$2:$A$23,'[1]Datos Contacto'!$E$2:$E$23,0,0,1)</f>
        <v>0</v>
      </c>
    </row>
    <row r="912" spans="1:9" x14ac:dyDescent="0.25">
      <c r="A912" s="1" t="s">
        <v>974</v>
      </c>
      <c r="B912" s="1" t="s">
        <v>975</v>
      </c>
      <c r="C912" s="1"/>
      <c r="D912" s="21" t="s">
        <v>1225</v>
      </c>
      <c r="E912" s="1" t="s">
        <v>9</v>
      </c>
      <c r="F912" s="1" t="s">
        <v>1226</v>
      </c>
      <c r="G912" s="1" t="s">
        <v>11</v>
      </c>
      <c r="H912" s="9">
        <f>_xlfn.XLOOKUP(Tabla3[[#This Row],[Cliente]],Hoja2!B96:B1519,Hoja2!C96:C1519)</f>
        <v>2000000</v>
      </c>
      <c r="I912" s="1">
        <f>_xlfn.XLOOKUP(Tabla3[[#This Row],[Cliente]],'[1]Datos Contacto'!$A$2:$A$23,'[1]Datos Contacto'!$E$2:$E$23,0,0,1)</f>
        <v>0</v>
      </c>
    </row>
    <row r="913" spans="1:9" x14ac:dyDescent="0.25">
      <c r="A913" s="1" t="s">
        <v>976</v>
      </c>
      <c r="B913" s="1" t="s">
        <v>977</v>
      </c>
      <c r="C913" s="1"/>
      <c r="D913" s="21" t="s">
        <v>1225</v>
      </c>
      <c r="E913" s="1" t="s">
        <v>9</v>
      </c>
      <c r="F913" s="1" t="s">
        <v>1226</v>
      </c>
      <c r="G913" s="1" t="s">
        <v>11</v>
      </c>
      <c r="H913" s="9">
        <f>_xlfn.XLOOKUP(Tabla3[[#This Row],[Cliente]],Hoja2!B97:B1520,Hoja2!C97:C1520)</f>
        <v>0</v>
      </c>
      <c r="I913" s="1">
        <f>_xlfn.XLOOKUP(Tabla3[[#This Row],[Cliente]],'[1]Datos Contacto'!$A$2:$A$23,'[1]Datos Contacto'!$E$2:$E$23,0,0,1)</f>
        <v>0</v>
      </c>
    </row>
    <row r="914" spans="1:9" x14ac:dyDescent="0.25">
      <c r="A914" s="1" t="s">
        <v>978</v>
      </c>
      <c r="B914" s="1" t="s">
        <v>979</v>
      </c>
      <c r="C914" s="1"/>
      <c r="D914" s="21" t="s">
        <v>1225</v>
      </c>
      <c r="E914" s="1" t="s">
        <v>79</v>
      </c>
      <c r="F914" s="1" t="s">
        <v>1226</v>
      </c>
      <c r="G914" s="1" t="s">
        <v>7</v>
      </c>
      <c r="H914" s="9">
        <f>_xlfn.XLOOKUP(Tabla3[[#This Row],[Cliente]],Hoja2!B98:B1521,Hoja2!C98:C1521)</f>
        <v>15000000</v>
      </c>
      <c r="I914" s="1">
        <f>_xlfn.XLOOKUP(Tabla3[[#This Row],[Cliente]],'[1]Datos Contacto'!$A$2:$A$23,'[1]Datos Contacto'!$E$2:$E$23,0,0,1)</f>
        <v>0</v>
      </c>
    </row>
    <row r="915" spans="1:9" x14ac:dyDescent="0.25">
      <c r="A915" s="1" t="s">
        <v>980</v>
      </c>
      <c r="B915" s="1" t="s">
        <v>981</v>
      </c>
      <c r="C915" s="1"/>
      <c r="D915" s="21" t="s">
        <v>1225</v>
      </c>
      <c r="E915" s="1" t="s">
        <v>6</v>
      </c>
      <c r="F915" s="1" t="s">
        <v>1226</v>
      </c>
      <c r="G915" s="1" t="s">
        <v>11</v>
      </c>
      <c r="H915" s="9">
        <v>2000000</v>
      </c>
      <c r="I915" s="1">
        <f>_xlfn.XLOOKUP(Tabla3[[#This Row],[Cliente]],'[1]Datos Contacto'!$A$2:$A$23,'[1]Datos Contacto'!$E$2:$E$23,0,0,1)</f>
        <v>0</v>
      </c>
    </row>
    <row r="916" spans="1:9" x14ac:dyDescent="0.25">
      <c r="A916" s="1" t="s">
        <v>982</v>
      </c>
      <c r="B916" s="1" t="s">
        <v>983</v>
      </c>
      <c r="C916" s="1"/>
      <c r="D916" s="21" t="s">
        <v>1225</v>
      </c>
      <c r="E916" s="1" t="s">
        <v>984</v>
      </c>
      <c r="F916" s="1" t="s">
        <v>1226</v>
      </c>
      <c r="G916" s="1" t="s">
        <v>7</v>
      </c>
      <c r="H916" s="9">
        <v>0</v>
      </c>
      <c r="I916" s="1">
        <f>_xlfn.XLOOKUP(Tabla3[[#This Row],[Cliente]],'[1]Datos Contacto'!$A$2:$A$23,'[1]Datos Contacto'!$E$2:$E$23,0,0,1)</f>
        <v>0</v>
      </c>
    </row>
    <row r="917" spans="1:9" x14ac:dyDescent="0.25">
      <c r="A917" s="1" t="s">
        <v>985</v>
      </c>
      <c r="B917" s="1" t="s">
        <v>986</v>
      </c>
      <c r="C917" s="1"/>
      <c r="D917" s="21" t="s">
        <v>1225</v>
      </c>
      <c r="E917" s="1" t="s">
        <v>9</v>
      </c>
      <c r="F917" s="1" t="s">
        <v>1226</v>
      </c>
      <c r="G917" s="1" t="s">
        <v>11</v>
      </c>
      <c r="H917" s="9">
        <v>1000000</v>
      </c>
      <c r="I917" s="1">
        <f>_xlfn.XLOOKUP(Tabla3[[#This Row],[Cliente]],'[1]Datos Contacto'!$A$2:$A$23,'[1]Datos Contacto'!$E$2:$E$23,0,0,1)</f>
        <v>0</v>
      </c>
    </row>
    <row r="918" spans="1:9" x14ac:dyDescent="0.25">
      <c r="A918" s="1" t="s">
        <v>987</v>
      </c>
      <c r="B918" s="1" t="s">
        <v>988</v>
      </c>
      <c r="C918" s="1"/>
      <c r="D918" s="21" t="s">
        <v>1225</v>
      </c>
      <c r="E918" s="1" t="s">
        <v>9</v>
      </c>
      <c r="F918" s="1" t="s">
        <v>1226</v>
      </c>
      <c r="G918" s="1" t="s">
        <v>7</v>
      </c>
      <c r="H918" s="9">
        <f>_xlfn.XLOOKUP(Tabla3[[#This Row],[Cliente]],Hoja2!B102:B1525,Hoja2!C102:C1525)</f>
        <v>1000000</v>
      </c>
      <c r="I918" s="1">
        <f>_xlfn.XLOOKUP(Tabla3[[#This Row],[Cliente]],'[1]Datos Contacto'!$A$2:$A$23,'[1]Datos Contacto'!$E$2:$E$23,0,0,1)</f>
        <v>0</v>
      </c>
    </row>
    <row r="919" spans="1:9" x14ac:dyDescent="0.25">
      <c r="A919" s="1" t="s">
        <v>989</v>
      </c>
      <c r="B919" s="1" t="s">
        <v>990</v>
      </c>
      <c r="C919" s="1"/>
      <c r="D919" s="21" t="s">
        <v>1225</v>
      </c>
      <c r="E919" s="1" t="s">
        <v>984</v>
      </c>
      <c r="F919" s="1" t="s">
        <v>1226</v>
      </c>
      <c r="G919" s="1" t="s">
        <v>7</v>
      </c>
      <c r="H919" s="9">
        <f>_xlfn.XLOOKUP(Tabla3[[#This Row],[Cliente]],Hoja2!B103:B1526,Hoja2!C103:C1526)</f>
        <v>5000000</v>
      </c>
      <c r="I919" s="1">
        <f>_xlfn.XLOOKUP(Tabla3[[#This Row],[Cliente]],'[1]Datos Contacto'!$A$2:$A$23,'[1]Datos Contacto'!$E$2:$E$23,0,0,1)</f>
        <v>0</v>
      </c>
    </row>
    <row r="920" spans="1:9" x14ac:dyDescent="0.25">
      <c r="A920" s="1" t="s">
        <v>991</v>
      </c>
      <c r="B920" s="1" t="s">
        <v>992</v>
      </c>
      <c r="C920" s="1"/>
      <c r="D920" s="21" t="s">
        <v>1225</v>
      </c>
      <c r="E920" s="1" t="s">
        <v>984</v>
      </c>
      <c r="F920" s="1" t="s">
        <v>1226</v>
      </c>
      <c r="G920" s="1" t="s">
        <v>7</v>
      </c>
      <c r="H920" s="9">
        <f>_xlfn.XLOOKUP(Tabla3[[#This Row],[Cliente]],Hoja2!B104:B1527,Hoja2!C104:C1527)</f>
        <v>0</v>
      </c>
      <c r="I920" s="1">
        <f>_xlfn.XLOOKUP(Tabla3[[#This Row],[Cliente]],'[1]Datos Contacto'!$A$2:$A$23,'[1]Datos Contacto'!$E$2:$E$23,0,0,1)</f>
        <v>0</v>
      </c>
    </row>
    <row r="921" spans="1:9" x14ac:dyDescent="0.25">
      <c r="A921" s="1" t="s">
        <v>993</v>
      </c>
      <c r="B921" s="1" t="s">
        <v>994</v>
      </c>
      <c r="C921" s="1"/>
      <c r="D921" s="21" t="s">
        <v>1225</v>
      </c>
      <c r="E921" s="1" t="s">
        <v>984</v>
      </c>
      <c r="F921" s="1" t="s">
        <v>1226</v>
      </c>
      <c r="G921" s="1" t="s">
        <v>7</v>
      </c>
      <c r="H921" s="9">
        <f>_xlfn.XLOOKUP(Tabla3[[#This Row],[Cliente]],Hoja2!B105:B1528,Hoja2!C105:C1528)</f>
        <v>10000000</v>
      </c>
      <c r="I921" s="1">
        <f>_xlfn.XLOOKUP(Tabla3[[#This Row],[Cliente]],'[1]Datos Contacto'!$A$2:$A$23,'[1]Datos Contacto'!$E$2:$E$23,0,0,1)</f>
        <v>0</v>
      </c>
    </row>
    <row r="922" spans="1:9" x14ac:dyDescent="0.25">
      <c r="A922" s="1" t="s">
        <v>995</v>
      </c>
      <c r="B922" s="1" t="s">
        <v>996</v>
      </c>
      <c r="C922" s="1"/>
      <c r="D922" s="21" t="s">
        <v>1225</v>
      </c>
      <c r="E922" s="1" t="s">
        <v>6</v>
      </c>
      <c r="F922" s="1" t="s">
        <v>1226</v>
      </c>
      <c r="G922" s="1" t="s">
        <v>7</v>
      </c>
      <c r="H922" s="9">
        <f>_xlfn.XLOOKUP(Tabla3[[#This Row],[Cliente]],Hoja2!B106:B1529,Hoja2!C106:C1529)</f>
        <v>5000000</v>
      </c>
      <c r="I922" s="1">
        <f>_xlfn.XLOOKUP(Tabla3[[#This Row],[Cliente]],'[1]Datos Contacto'!$A$2:$A$23,'[1]Datos Contacto'!$E$2:$E$23,0,0,1)</f>
        <v>0</v>
      </c>
    </row>
    <row r="923" spans="1:9" x14ac:dyDescent="0.25">
      <c r="A923" s="1" t="s">
        <v>997</v>
      </c>
      <c r="B923" s="1" t="s">
        <v>998</v>
      </c>
      <c r="C923" s="1"/>
      <c r="D923" s="21" t="s">
        <v>1225</v>
      </c>
      <c r="E923" s="1" t="s">
        <v>9</v>
      </c>
      <c r="F923" s="1" t="s">
        <v>1226</v>
      </c>
      <c r="G923" s="1" t="s">
        <v>11</v>
      </c>
      <c r="H923" s="9">
        <f>_xlfn.XLOOKUP(Tabla3[[#This Row],[Cliente]],Hoja2!B107:B1530,Hoja2!C107:C1530)</f>
        <v>1000000</v>
      </c>
      <c r="I923" s="1">
        <f>_xlfn.XLOOKUP(Tabla3[[#This Row],[Cliente]],'[1]Datos Contacto'!$A$2:$A$23,'[1]Datos Contacto'!$E$2:$E$23,0,0,1)</f>
        <v>0</v>
      </c>
    </row>
    <row r="924" spans="1:9" x14ac:dyDescent="0.25">
      <c r="A924" s="1" t="s">
        <v>999</v>
      </c>
      <c r="B924" s="1" t="s">
        <v>1000</v>
      </c>
      <c r="C924" s="1"/>
      <c r="D924" s="21" t="s">
        <v>1225</v>
      </c>
      <c r="E924" s="1" t="s">
        <v>984</v>
      </c>
      <c r="F924" s="1" t="s">
        <v>1226</v>
      </c>
      <c r="G924" s="1" t="s">
        <v>7</v>
      </c>
      <c r="H924" s="9">
        <f>_xlfn.XLOOKUP(Tabla3[[#This Row],[Cliente]],Hoja2!B108:B1531,Hoja2!C108:C1531)</f>
        <v>5000000</v>
      </c>
      <c r="I924" s="1">
        <f>_xlfn.XLOOKUP(Tabla3[[#This Row],[Cliente]],'[1]Datos Contacto'!$A$2:$A$23,'[1]Datos Contacto'!$E$2:$E$23,0,0,1)</f>
        <v>0</v>
      </c>
    </row>
    <row r="925" spans="1:9" x14ac:dyDescent="0.25">
      <c r="A925" s="1" t="s">
        <v>1001</v>
      </c>
      <c r="B925" s="1" t="s">
        <v>1002</v>
      </c>
      <c r="C925" s="1"/>
      <c r="D925" s="21" t="s">
        <v>1225</v>
      </c>
      <c r="E925" s="1" t="s">
        <v>79</v>
      </c>
      <c r="F925" s="1" t="s">
        <v>1226</v>
      </c>
      <c r="G925" s="1" t="s">
        <v>7</v>
      </c>
      <c r="H925" s="9">
        <f>_xlfn.XLOOKUP(Tabla3[[#This Row],[Cliente]],Hoja2!B109:B1532,Hoja2!C109:C1532)</f>
        <v>0</v>
      </c>
      <c r="I925" s="1">
        <f>_xlfn.XLOOKUP(Tabla3[[#This Row],[Cliente]],'[1]Datos Contacto'!$A$2:$A$23,'[1]Datos Contacto'!$E$2:$E$23,0,0,1)</f>
        <v>0</v>
      </c>
    </row>
    <row r="926" spans="1:9" x14ac:dyDescent="0.25">
      <c r="A926" s="1" t="s">
        <v>1003</v>
      </c>
      <c r="B926" s="1" t="s">
        <v>1004</v>
      </c>
      <c r="C926" s="1"/>
      <c r="D926" s="21" t="s">
        <v>1225</v>
      </c>
      <c r="E926" s="1" t="s">
        <v>984</v>
      </c>
      <c r="F926" s="1" t="s">
        <v>1226</v>
      </c>
      <c r="G926" s="1" t="s">
        <v>7</v>
      </c>
      <c r="H926" s="9">
        <f>_xlfn.XLOOKUP(Tabla3[[#This Row],[Cliente]],Hoja2!B110:B1533,Hoja2!C110:C1533)</f>
        <v>0</v>
      </c>
      <c r="I926" s="1">
        <f>_xlfn.XLOOKUP(Tabla3[[#This Row],[Cliente]],'[1]Datos Contacto'!$A$2:$A$23,'[1]Datos Contacto'!$E$2:$E$23,0,0,1)</f>
        <v>0</v>
      </c>
    </row>
    <row r="927" spans="1:9" x14ac:dyDescent="0.25">
      <c r="A927" s="1" t="s">
        <v>1005</v>
      </c>
      <c r="B927" s="1" t="s">
        <v>1006</v>
      </c>
      <c r="C927" s="1"/>
      <c r="D927" s="21" t="s">
        <v>1225</v>
      </c>
      <c r="E927" s="1" t="s">
        <v>984</v>
      </c>
      <c r="F927" s="1" t="s">
        <v>1226</v>
      </c>
      <c r="G927" s="1" t="s">
        <v>7</v>
      </c>
      <c r="H927" s="9">
        <f>_xlfn.XLOOKUP(Tabla3[[#This Row],[Cliente]],Hoja2!B111:B1534,Hoja2!C111:C1534)</f>
        <v>5000000</v>
      </c>
      <c r="I927" s="1">
        <f>_xlfn.XLOOKUP(Tabla3[[#This Row],[Cliente]],'[1]Datos Contacto'!$A$2:$A$23,'[1]Datos Contacto'!$E$2:$E$23,0,0,1)</f>
        <v>0</v>
      </c>
    </row>
    <row r="928" spans="1:9" x14ac:dyDescent="0.25">
      <c r="A928" s="1" t="s">
        <v>1007</v>
      </c>
      <c r="B928" s="1" t="s">
        <v>1008</v>
      </c>
      <c r="C928" s="1"/>
      <c r="D928" s="21" t="s">
        <v>1225</v>
      </c>
      <c r="E928" s="1" t="s">
        <v>6</v>
      </c>
      <c r="F928" s="1" t="s">
        <v>1226</v>
      </c>
      <c r="G928" s="1" t="s">
        <v>7</v>
      </c>
      <c r="H928" s="9">
        <f>_xlfn.XLOOKUP(Tabla3[[#This Row],[Cliente]],Hoja2!B112:B1535,Hoja2!C112:C1535)</f>
        <v>10000000</v>
      </c>
      <c r="I928" s="1">
        <f>_xlfn.XLOOKUP(Tabla3[[#This Row],[Cliente]],'[1]Datos Contacto'!$A$2:$A$23,'[1]Datos Contacto'!$E$2:$E$23,0,0,1)</f>
        <v>0</v>
      </c>
    </row>
    <row r="929" spans="1:9" x14ac:dyDescent="0.25">
      <c r="A929" s="1" t="s">
        <v>1009</v>
      </c>
      <c r="B929" s="1" t="s">
        <v>1010</v>
      </c>
      <c r="C929" s="1"/>
      <c r="D929" s="21" t="s">
        <v>1225</v>
      </c>
      <c r="E929" s="1" t="s">
        <v>9</v>
      </c>
      <c r="F929" s="1" t="s">
        <v>1226</v>
      </c>
      <c r="G929" s="1" t="s">
        <v>7</v>
      </c>
      <c r="H929" s="9">
        <f>_xlfn.XLOOKUP(Tabla3[[#This Row],[Cliente]],Hoja2!B113:B1536,Hoja2!C113:C1536)</f>
        <v>1000000</v>
      </c>
      <c r="I929" s="1">
        <f>_xlfn.XLOOKUP(Tabla3[[#This Row],[Cliente]],'[1]Datos Contacto'!$A$2:$A$23,'[1]Datos Contacto'!$E$2:$E$23,0,0,1)</f>
        <v>0</v>
      </c>
    </row>
    <row r="930" spans="1:9" x14ac:dyDescent="0.25">
      <c r="A930" s="1" t="s">
        <v>1011</v>
      </c>
      <c r="B930" s="1" t="s">
        <v>1012</v>
      </c>
      <c r="C930" s="1"/>
      <c r="D930" s="21" t="s">
        <v>1225</v>
      </c>
      <c r="E930" s="1" t="s">
        <v>9</v>
      </c>
      <c r="F930" s="1" t="s">
        <v>1226</v>
      </c>
      <c r="G930" s="1" t="s">
        <v>7</v>
      </c>
      <c r="H930" s="9">
        <f>_xlfn.XLOOKUP(Tabla3[[#This Row],[Cliente]],Hoja2!B114:B1537,Hoja2!C114:C1537)</f>
        <v>1000000</v>
      </c>
      <c r="I930" s="1">
        <f>_xlfn.XLOOKUP(Tabla3[[#This Row],[Cliente]],'[1]Datos Contacto'!$A$2:$A$23,'[1]Datos Contacto'!$E$2:$E$23,0,0,1)</f>
        <v>0</v>
      </c>
    </row>
    <row r="931" spans="1:9" x14ac:dyDescent="0.25">
      <c r="A931" s="1" t="s">
        <v>1013</v>
      </c>
      <c r="B931" s="1" t="s">
        <v>1014</v>
      </c>
      <c r="C931" s="1"/>
      <c r="D931" s="21" t="s">
        <v>1225</v>
      </c>
      <c r="E931" s="1" t="s">
        <v>9</v>
      </c>
      <c r="F931" s="1" t="s">
        <v>1226</v>
      </c>
      <c r="G931" s="1" t="s">
        <v>11</v>
      </c>
      <c r="H931" s="9">
        <f>_xlfn.XLOOKUP(Tabla3[[#This Row],[Cliente]],Hoja2!B115:B1538,Hoja2!C115:C1538)</f>
        <v>0</v>
      </c>
      <c r="I931" s="1">
        <f>_xlfn.XLOOKUP(Tabla3[[#This Row],[Cliente]],'[1]Datos Contacto'!$A$2:$A$23,'[1]Datos Contacto'!$E$2:$E$23,0,0,1)</f>
        <v>0</v>
      </c>
    </row>
    <row r="932" spans="1:9" x14ac:dyDescent="0.25">
      <c r="A932" s="1" t="s">
        <v>1015</v>
      </c>
      <c r="B932" s="1" t="s">
        <v>1016</v>
      </c>
      <c r="C932" s="1"/>
      <c r="D932" s="21" t="s">
        <v>1225</v>
      </c>
      <c r="E932" s="1" t="s">
        <v>1017</v>
      </c>
      <c r="F932" s="1" t="s">
        <v>1226</v>
      </c>
      <c r="G932" s="1" t="s">
        <v>7</v>
      </c>
      <c r="H932" s="9">
        <f>_xlfn.XLOOKUP(Tabla3[[#This Row],[Cliente]],Hoja2!B116:B1539,Hoja2!C116:C1539)</f>
        <v>0</v>
      </c>
      <c r="I932" s="1">
        <f>_xlfn.XLOOKUP(Tabla3[[#This Row],[Cliente]],'[1]Datos Contacto'!$A$2:$A$23,'[1]Datos Contacto'!$E$2:$E$23,0,0,1)</f>
        <v>0</v>
      </c>
    </row>
    <row r="933" spans="1:9" x14ac:dyDescent="0.25">
      <c r="A933" s="1" t="s">
        <v>1018</v>
      </c>
      <c r="B933" s="1" t="s">
        <v>1019</v>
      </c>
      <c r="C933" s="1"/>
      <c r="D933" s="21" t="s">
        <v>1225</v>
      </c>
      <c r="E933" s="1" t="s">
        <v>9</v>
      </c>
      <c r="F933" s="1" t="s">
        <v>1226</v>
      </c>
      <c r="G933" s="1" t="s">
        <v>7</v>
      </c>
      <c r="H933" s="9">
        <f>_xlfn.XLOOKUP(Tabla3[[#This Row],[Cliente]],Hoja2!B117:B1540,Hoja2!C117:C1540)</f>
        <v>500000</v>
      </c>
      <c r="I933" s="1">
        <f>_xlfn.XLOOKUP(Tabla3[[#This Row],[Cliente]],'[1]Datos Contacto'!$A$2:$A$23,'[1]Datos Contacto'!$E$2:$E$23,0,0,1)</f>
        <v>0</v>
      </c>
    </row>
    <row r="934" spans="1:9" x14ac:dyDescent="0.25">
      <c r="A934" s="1" t="s">
        <v>1018</v>
      </c>
      <c r="B934" s="1" t="s">
        <v>1019</v>
      </c>
      <c r="C934" s="1"/>
      <c r="D934" s="21" t="s">
        <v>1225</v>
      </c>
      <c r="E934" s="1" t="s">
        <v>9</v>
      </c>
      <c r="F934" s="1" t="s">
        <v>1226</v>
      </c>
      <c r="G934" s="1" t="s">
        <v>7</v>
      </c>
      <c r="H934" s="9">
        <f>_xlfn.XLOOKUP(Tabla3[[#This Row],[Cliente]],Hoja2!B118:B1541,Hoja2!C118:C1541)</f>
        <v>500000</v>
      </c>
      <c r="I934" s="1">
        <f>_xlfn.XLOOKUP(Tabla3[[#This Row],[Cliente]],'[1]Datos Contacto'!$A$2:$A$23,'[1]Datos Contacto'!$E$2:$E$23,0,0,1)</f>
        <v>0</v>
      </c>
    </row>
    <row r="935" spans="1:9" x14ac:dyDescent="0.25">
      <c r="A935" s="1" t="s">
        <v>1018</v>
      </c>
      <c r="B935" s="1" t="s">
        <v>1019</v>
      </c>
      <c r="C935" s="1"/>
      <c r="D935" s="21" t="s">
        <v>1225</v>
      </c>
      <c r="E935" s="1" t="s">
        <v>9</v>
      </c>
      <c r="F935" s="1" t="s">
        <v>1226</v>
      </c>
      <c r="G935" s="1" t="s">
        <v>7</v>
      </c>
      <c r="H935" s="9">
        <f>_xlfn.XLOOKUP(Tabla3[[#This Row],[Cliente]],Hoja2!B119:B1542,Hoja2!C119:C1542)</f>
        <v>500000</v>
      </c>
      <c r="I935" s="1">
        <f>_xlfn.XLOOKUP(Tabla3[[#This Row],[Cliente]],'[1]Datos Contacto'!$A$2:$A$23,'[1]Datos Contacto'!$E$2:$E$23,0,0,1)</f>
        <v>0</v>
      </c>
    </row>
    <row r="936" spans="1:9" x14ac:dyDescent="0.25">
      <c r="A936" s="1" t="s">
        <v>1020</v>
      </c>
      <c r="B936" s="1" t="s">
        <v>1021</v>
      </c>
      <c r="C936" s="1"/>
      <c r="D936" s="21" t="s">
        <v>1225</v>
      </c>
      <c r="E936" s="1" t="s">
        <v>6</v>
      </c>
      <c r="F936" s="1" t="s">
        <v>1226</v>
      </c>
      <c r="G936" s="1" t="s">
        <v>7</v>
      </c>
      <c r="H936" s="9">
        <f>_xlfn.XLOOKUP(Tabla3[[#This Row],[Cliente]],Hoja2!B120:B1543,Hoja2!C120:C1543)</f>
        <v>40000000</v>
      </c>
      <c r="I936" s="1" t="str">
        <f>_xlfn.XLOOKUP(Tabla3[[#This Row],[Cliente]],'[1]Datos Contacto'!$A$2:$A$23,'[1]Datos Contacto'!$E$2:$E$23,0,0,1)</f>
        <v>facturaelectronica@hornitos.co</v>
      </c>
    </row>
    <row r="937" spans="1:9" x14ac:dyDescent="0.25">
      <c r="A937" s="1" t="s">
        <v>1022</v>
      </c>
      <c r="B937" s="1" t="s">
        <v>1023</v>
      </c>
      <c r="C937" s="1"/>
      <c r="D937" s="21" t="s">
        <v>1225</v>
      </c>
      <c r="E937" s="1" t="s">
        <v>984</v>
      </c>
      <c r="F937" s="1" t="s">
        <v>1226</v>
      </c>
      <c r="G937" s="1" t="s">
        <v>7</v>
      </c>
      <c r="H937" s="9">
        <f>_xlfn.XLOOKUP(Tabla3[[#This Row],[Cliente]],Hoja2!B121:B1544,Hoja2!C121:C1544)</f>
        <v>5000000</v>
      </c>
      <c r="I937" s="1">
        <f>_xlfn.XLOOKUP(Tabla3[[#This Row],[Cliente]],'[1]Datos Contacto'!$A$2:$A$23,'[1]Datos Contacto'!$E$2:$E$23,0,0,1)</f>
        <v>0</v>
      </c>
    </row>
    <row r="938" spans="1:9" x14ac:dyDescent="0.25">
      <c r="A938" s="1" t="s">
        <v>1024</v>
      </c>
      <c r="B938" s="1" t="s">
        <v>1025</v>
      </c>
      <c r="C938" s="1"/>
      <c r="D938" s="21" t="s">
        <v>1225</v>
      </c>
      <c r="E938" s="1" t="s">
        <v>984</v>
      </c>
      <c r="F938" s="1" t="s">
        <v>1226</v>
      </c>
      <c r="G938" s="1" t="s">
        <v>7</v>
      </c>
      <c r="H938" s="9">
        <f>_xlfn.XLOOKUP(Tabla3[[#This Row],[Cliente]],Hoja2!B122:B1545,Hoja2!C122:C1545)</f>
        <v>0</v>
      </c>
      <c r="I938" s="1">
        <f>_xlfn.XLOOKUP(Tabla3[[#This Row],[Cliente]],'[1]Datos Contacto'!$A$2:$A$23,'[1]Datos Contacto'!$E$2:$E$23,0,0,1)</f>
        <v>0</v>
      </c>
    </row>
    <row r="939" spans="1:9" x14ac:dyDescent="0.25">
      <c r="A939" s="1" t="s">
        <v>1026</v>
      </c>
      <c r="B939" s="1" t="s">
        <v>1027</v>
      </c>
      <c r="C939" s="1"/>
      <c r="D939" s="21" t="s">
        <v>1225</v>
      </c>
      <c r="E939" s="1" t="s">
        <v>79</v>
      </c>
      <c r="F939" s="1" t="s">
        <v>1226</v>
      </c>
      <c r="G939" s="1" t="s">
        <v>7</v>
      </c>
      <c r="H939" s="9">
        <f>_xlfn.XLOOKUP(Tabla3[[#This Row],[Cliente]],Hoja2!B123:B1546,Hoja2!C123:C1546)</f>
        <v>1000000</v>
      </c>
      <c r="I939" s="1">
        <f>_xlfn.XLOOKUP(Tabla3[[#This Row],[Cliente]],'[1]Datos Contacto'!$A$2:$A$23,'[1]Datos Contacto'!$E$2:$E$23,0,0,1)</f>
        <v>0</v>
      </c>
    </row>
    <row r="940" spans="1:9" x14ac:dyDescent="0.25">
      <c r="A940" s="1" t="s">
        <v>1028</v>
      </c>
      <c r="B940" s="1" t="s">
        <v>1029</v>
      </c>
      <c r="C940" s="1"/>
      <c r="D940" s="21" t="s">
        <v>1225</v>
      </c>
      <c r="E940" s="1" t="s">
        <v>9</v>
      </c>
      <c r="F940" s="1" t="s">
        <v>1226</v>
      </c>
      <c r="G940" s="1" t="s">
        <v>7</v>
      </c>
      <c r="H940" s="9">
        <f>_xlfn.XLOOKUP(Tabla3[[#This Row],[Cliente]],Hoja2!B124:B1547,Hoja2!C124:C1547)</f>
        <v>20000000</v>
      </c>
      <c r="I940" s="1">
        <f>_xlfn.XLOOKUP(Tabla3[[#This Row],[Cliente]],'[1]Datos Contacto'!$A$2:$A$23,'[1]Datos Contacto'!$E$2:$E$23,0,0,1)</f>
        <v>0</v>
      </c>
    </row>
    <row r="941" spans="1:9" x14ac:dyDescent="0.25">
      <c r="A941" s="1" t="s">
        <v>1030</v>
      </c>
      <c r="B941" s="1" t="s">
        <v>1031</v>
      </c>
      <c r="C941" s="1"/>
      <c r="D941" s="21" t="s">
        <v>1225</v>
      </c>
      <c r="E941" s="1" t="s">
        <v>1017</v>
      </c>
      <c r="F941" s="1" t="s">
        <v>1226</v>
      </c>
      <c r="G941" s="1" t="s">
        <v>7</v>
      </c>
      <c r="H941" s="9">
        <f>_xlfn.XLOOKUP(Tabla3[[#This Row],[Cliente]],Hoja2!B125:B1548,Hoja2!C125:C1548)</f>
        <v>10000000</v>
      </c>
      <c r="I941" s="1">
        <f>_xlfn.XLOOKUP(Tabla3[[#This Row],[Cliente]],'[1]Datos Contacto'!$A$2:$A$23,'[1]Datos Contacto'!$E$2:$E$23,0,0,1)</f>
        <v>0</v>
      </c>
    </row>
    <row r="942" spans="1:9" x14ac:dyDescent="0.25">
      <c r="A942" s="1" t="s">
        <v>1032</v>
      </c>
      <c r="B942" s="1" t="s">
        <v>1033</v>
      </c>
      <c r="C942" s="1"/>
      <c r="D942" s="21" t="s">
        <v>1225</v>
      </c>
      <c r="E942" s="1" t="s">
        <v>79</v>
      </c>
      <c r="F942" s="1" t="s">
        <v>1226</v>
      </c>
      <c r="G942" s="1" t="s">
        <v>7</v>
      </c>
      <c r="H942" s="9">
        <f>_xlfn.XLOOKUP(Tabla3[[#This Row],[Cliente]],Hoja2!B126:B1549,Hoja2!C126:C1549)</f>
        <v>1000000</v>
      </c>
      <c r="I942" s="1">
        <f>_xlfn.XLOOKUP(Tabla3[[#This Row],[Cliente]],'[1]Datos Contacto'!$A$2:$A$23,'[1]Datos Contacto'!$E$2:$E$23,0,0,1)</f>
        <v>0</v>
      </c>
    </row>
    <row r="943" spans="1:9" x14ac:dyDescent="0.25">
      <c r="A943" s="1" t="s">
        <v>1034</v>
      </c>
      <c r="B943" s="1" t="s">
        <v>1035</v>
      </c>
      <c r="C943" s="1"/>
      <c r="D943" s="21" t="s">
        <v>1225</v>
      </c>
      <c r="E943" s="1" t="s">
        <v>1017</v>
      </c>
      <c r="F943" s="1" t="s">
        <v>1226</v>
      </c>
      <c r="G943" s="1" t="s">
        <v>7</v>
      </c>
      <c r="H943" s="9">
        <f>_xlfn.XLOOKUP(Tabla3[[#This Row],[Cliente]],Hoja2!B127:B1550,Hoja2!C127:C1550)</f>
        <v>0</v>
      </c>
      <c r="I943" s="1">
        <f>_xlfn.XLOOKUP(Tabla3[[#This Row],[Cliente]],'[1]Datos Contacto'!$A$2:$A$23,'[1]Datos Contacto'!$E$2:$E$23,0,0,1)</f>
        <v>0</v>
      </c>
    </row>
    <row r="944" spans="1:9" x14ac:dyDescent="0.25">
      <c r="A944" s="1" t="s">
        <v>1036</v>
      </c>
      <c r="B944" s="1" t="s">
        <v>1037</v>
      </c>
      <c r="C944" s="1"/>
      <c r="D944" s="21" t="s">
        <v>1225</v>
      </c>
      <c r="E944" s="1" t="s">
        <v>1017</v>
      </c>
      <c r="F944" s="1" t="s">
        <v>1226</v>
      </c>
      <c r="G944" s="1" t="s">
        <v>7</v>
      </c>
      <c r="H944" s="9">
        <f>_xlfn.XLOOKUP(Tabla3[[#This Row],[Cliente]],Hoja2!B128:B1551,Hoja2!C128:C1551)</f>
        <v>0</v>
      </c>
      <c r="I944" s="1">
        <f>_xlfn.XLOOKUP(Tabla3[[#This Row],[Cliente]],'[1]Datos Contacto'!$A$2:$A$23,'[1]Datos Contacto'!$E$2:$E$23,0,0,1)</f>
        <v>0</v>
      </c>
    </row>
    <row r="945" spans="1:9" x14ac:dyDescent="0.25">
      <c r="A945" s="1" t="s">
        <v>1038</v>
      </c>
      <c r="B945" s="1" t="s">
        <v>1039</v>
      </c>
      <c r="C945" s="1"/>
      <c r="D945" s="21" t="s">
        <v>1225</v>
      </c>
      <c r="E945" s="1" t="s">
        <v>1017</v>
      </c>
      <c r="F945" s="1" t="s">
        <v>1226</v>
      </c>
      <c r="G945" s="1" t="s">
        <v>7</v>
      </c>
      <c r="H945" s="9">
        <f>_xlfn.XLOOKUP(Tabla3[[#This Row],[Cliente]],Hoja2!B129:B1552,Hoja2!C129:C1552)</f>
        <v>0</v>
      </c>
      <c r="I945" s="1">
        <f>_xlfn.XLOOKUP(Tabla3[[#This Row],[Cliente]],'[1]Datos Contacto'!$A$2:$A$23,'[1]Datos Contacto'!$E$2:$E$23,0,0,1)</f>
        <v>0</v>
      </c>
    </row>
    <row r="946" spans="1:9" x14ac:dyDescent="0.25">
      <c r="A946" s="1" t="s">
        <v>1040</v>
      </c>
      <c r="B946" s="1" t="s">
        <v>1041</v>
      </c>
      <c r="C946" s="1"/>
      <c r="D946" s="21" t="s">
        <v>1225</v>
      </c>
      <c r="E946" s="1" t="s">
        <v>984</v>
      </c>
      <c r="F946" s="1" t="s">
        <v>1226</v>
      </c>
      <c r="G946" s="1" t="s">
        <v>7</v>
      </c>
      <c r="H946" s="9">
        <f>_xlfn.XLOOKUP(Tabla3[[#This Row],[Cliente]],Hoja2!B130:B1553,Hoja2!C130:C1553)</f>
        <v>5000000</v>
      </c>
      <c r="I946" s="1">
        <f>_xlfn.XLOOKUP(Tabla3[[#This Row],[Cliente]],'[1]Datos Contacto'!$A$2:$A$23,'[1]Datos Contacto'!$E$2:$E$23,0,0,1)</f>
        <v>0</v>
      </c>
    </row>
    <row r="947" spans="1:9" x14ac:dyDescent="0.25">
      <c r="A947" s="1" t="s">
        <v>1042</v>
      </c>
      <c r="B947" s="1" t="s">
        <v>1043</v>
      </c>
      <c r="C947" s="1"/>
      <c r="D947" s="21" t="s">
        <v>1225</v>
      </c>
      <c r="E947" s="1" t="s">
        <v>984</v>
      </c>
      <c r="F947" s="1" t="s">
        <v>1226</v>
      </c>
      <c r="G947" s="1" t="s">
        <v>7</v>
      </c>
      <c r="H947" s="9">
        <f>_xlfn.XLOOKUP(Tabla3[[#This Row],[Cliente]],Hoja2!B131:B1554,Hoja2!C131:C1554)</f>
        <v>10000000</v>
      </c>
      <c r="I947" s="1">
        <f>_xlfn.XLOOKUP(Tabla3[[#This Row],[Cliente]],'[1]Datos Contacto'!$A$2:$A$23,'[1]Datos Contacto'!$E$2:$E$23,0,0,1)</f>
        <v>0</v>
      </c>
    </row>
    <row r="948" spans="1:9" x14ac:dyDescent="0.25">
      <c r="A948" s="1" t="s">
        <v>1044</v>
      </c>
      <c r="B948" s="1" t="s">
        <v>1045</v>
      </c>
      <c r="C948" s="1"/>
      <c r="D948" s="21" t="s">
        <v>1225</v>
      </c>
      <c r="E948" s="1" t="s">
        <v>1017</v>
      </c>
      <c r="F948" s="1" t="s">
        <v>1226</v>
      </c>
      <c r="G948" s="1" t="s">
        <v>7</v>
      </c>
      <c r="H948" s="9">
        <f>_xlfn.XLOOKUP(Tabla3[[#This Row],[Cliente]],Hoja2!B132:B1555,Hoja2!C132:C1555)</f>
        <v>0</v>
      </c>
      <c r="I948" s="1">
        <f>_xlfn.XLOOKUP(Tabla3[[#This Row],[Cliente]],'[1]Datos Contacto'!$A$2:$A$23,'[1]Datos Contacto'!$E$2:$E$23,0,0,1)</f>
        <v>0</v>
      </c>
    </row>
    <row r="949" spans="1:9" x14ac:dyDescent="0.25">
      <c r="A949" s="1">
        <v>90195253</v>
      </c>
      <c r="B949" s="1" t="s">
        <v>1047</v>
      </c>
      <c r="C949" s="1"/>
      <c r="D949" s="21" t="s">
        <v>1225</v>
      </c>
      <c r="E949" s="1" t="s">
        <v>1017</v>
      </c>
      <c r="F949" s="1" t="s">
        <v>1226</v>
      </c>
      <c r="G949" s="1" t="s">
        <v>7</v>
      </c>
      <c r="H949" s="9">
        <f>_xlfn.XLOOKUP(Tabla3[[#This Row],[Cliente]],Hoja2!B133:B1556,Hoja2!C133:C1556)</f>
        <v>5000000</v>
      </c>
      <c r="I949" s="1">
        <f>_xlfn.XLOOKUP(Tabla3[[#This Row],[Cliente]],'[1]Datos Contacto'!$A$2:$A$23,'[1]Datos Contacto'!$E$2:$E$23,0,0,1)</f>
        <v>0</v>
      </c>
    </row>
    <row r="950" spans="1:9" x14ac:dyDescent="0.25">
      <c r="A950" s="1" t="s">
        <v>1046</v>
      </c>
      <c r="B950" s="1" t="s">
        <v>1047</v>
      </c>
      <c r="C950" s="1"/>
      <c r="D950" s="21" t="s">
        <v>1225</v>
      </c>
      <c r="E950" s="1" t="s">
        <v>1017</v>
      </c>
      <c r="F950" s="1" t="s">
        <v>1226</v>
      </c>
      <c r="G950" s="1" t="s">
        <v>7</v>
      </c>
      <c r="H950" s="9">
        <f>_xlfn.XLOOKUP(Tabla3[[#This Row],[Cliente]],Hoja2!B134:B1557,Hoja2!C134:C1557)</f>
        <v>5000000</v>
      </c>
      <c r="I950" s="1">
        <f>_xlfn.XLOOKUP(Tabla3[[#This Row],[Cliente]],'[1]Datos Contacto'!$A$2:$A$23,'[1]Datos Contacto'!$E$2:$E$23,0,0,1)</f>
        <v>0</v>
      </c>
    </row>
    <row r="951" spans="1:9" x14ac:dyDescent="0.25">
      <c r="A951" s="1" t="s">
        <v>1048</v>
      </c>
      <c r="B951" s="1" t="s">
        <v>1049</v>
      </c>
      <c r="C951" s="1"/>
      <c r="D951" s="21" t="s">
        <v>1225</v>
      </c>
      <c r="E951" s="1" t="s">
        <v>984</v>
      </c>
      <c r="F951" s="1" t="s">
        <v>1226</v>
      </c>
      <c r="G951" s="1" t="s">
        <v>7</v>
      </c>
      <c r="H951" s="9">
        <f>_xlfn.XLOOKUP(Tabla3[[#This Row],[Cliente]],Hoja2!B135:B1558,Hoja2!C135:C1558)</f>
        <v>10000000</v>
      </c>
      <c r="I951" s="1">
        <f>_xlfn.XLOOKUP(Tabla3[[#This Row],[Cliente]],'[1]Datos Contacto'!$A$2:$A$23,'[1]Datos Contacto'!$E$2:$E$23,0,0,1)</f>
        <v>0</v>
      </c>
    </row>
    <row r="952" spans="1:9" x14ac:dyDescent="0.25">
      <c r="A952" s="1" t="s">
        <v>1050</v>
      </c>
      <c r="B952" s="1" t="s">
        <v>1051</v>
      </c>
      <c r="C952" s="1"/>
      <c r="D952" s="21" t="s">
        <v>1225</v>
      </c>
      <c r="E952" s="1" t="s">
        <v>1017</v>
      </c>
      <c r="F952" s="1" t="s">
        <v>1226</v>
      </c>
      <c r="G952" s="1" t="s">
        <v>7</v>
      </c>
      <c r="H952" s="9">
        <f>_xlfn.XLOOKUP(Tabla3[[#This Row],[Cliente]],Hoja2!B136:B1559,Hoja2!C136:C1559)</f>
        <v>0</v>
      </c>
      <c r="I952" s="1">
        <f>_xlfn.XLOOKUP(Tabla3[[#This Row],[Cliente]],'[1]Datos Contacto'!$A$2:$A$23,'[1]Datos Contacto'!$E$2:$E$23,0,0,1)</f>
        <v>0</v>
      </c>
    </row>
    <row r="953" spans="1:9" x14ac:dyDescent="0.25">
      <c r="A953" s="1" t="s">
        <v>1052</v>
      </c>
      <c r="B953" s="1" t="s">
        <v>1053</v>
      </c>
      <c r="C953" s="1"/>
      <c r="D953" s="21" t="s">
        <v>1225</v>
      </c>
      <c r="E953" s="1" t="s">
        <v>1017</v>
      </c>
      <c r="F953" s="1" t="s">
        <v>1226</v>
      </c>
      <c r="G953" s="1" t="s">
        <v>7</v>
      </c>
      <c r="H953" s="9">
        <f>_xlfn.XLOOKUP(Tabla3[[#This Row],[Cliente]],Hoja2!B137:B1560,Hoja2!C137:C1560)</f>
        <v>1000000</v>
      </c>
      <c r="I953" s="1">
        <f>_xlfn.XLOOKUP(Tabla3[[#This Row],[Cliente]],'[1]Datos Contacto'!$A$2:$A$23,'[1]Datos Contacto'!$E$2:$E$23,0,0,1)</f>
        <v>0</v>
      </c>
    </row>
  </sheetData>
  <hyperlinks>
    <hyperlink ref="F3" r:id="rId1" display="a.silvestre@grupolom.com" xr:uid="{51740775-29BF-4C50-9768-A132192E8EB1}"/>
    <hyperlink ref="F879" r:id="rId2" display="s.eslava@grupolom.com" xr:uid="{43E7AAD7-2A0E-461B-8895-94F1BBAE2F13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A206-5869-4B34-8514-07145AF1396C}">
  <dimension ref="A1:C1425"/>
  <sheetViews>
    <sheetView workbookViewId="0">
      <selection activeCell="B1" sqref="B1"/>
    </sheetView>
  </sheetViews>
  <sheetFormatPr baseColWidth="10" defaultRowHeight="15" x14ac:dyDescent="0.25"/>
  <cols>
    <col min="2" max="2" width="52" customWidth="1"/>
    <col min="3" max="3" width="22.5703125" customWidth="1"/>
  </cols>
  <sheetData>
    <row r="1" spans="1:3" x14ac:dyDescent="0.25">
      <c r="A1" s="13" t="s">
        <v>0</v>
      </c>
      <c r="B1" s="10" t="s">
        <v>1057</v>
      </c>
      <c r="C1" s="17" t="s">
        <v>1220</v>
      </c>
    </row>
    <row r="2" spans="1:3" x14ac:dyDescent="0.25">
      <c r="A2" s="14">
        <v>901460509</v>
      </c>
      <c r="B2" s="11" t="s">
        <v>1078</v>
      </c>
      <c r="C2" s="18">
        <v>0</v>
      </c>
    </row>
    <row r="3" spans="1:3" x14ac:dyDescent="0.25">
      <c r="A3" s="14">
        <v>4047154</v>
      </c>
      <c r="B3" s="11" t="s">
        <v>1079</v>
      </c>
      <c r="C3" s="19">
        <v>2000000</v>
      </c>
    </row>
    <row r="4" spans="1:3" x14ac:dyDescent="0.25">
      <c r="A4" s="14">
        <v>901889936</v>
      </c>
      <c r="B4" s="11" t="s">
        <v>939</v>
      </c>
      <c r="C4" s="19">
        <v>10000000</v>
      </c>
    </row>
    <row r="5" spans="1:3" x14ac:dyDescent="0.25">
      <c r="A5" s="14">
        <v>900993503</v>
      </c>
      <c r="B5" s="11" t="s">
        <v>5</v>
      </c>
      <c r="C5" s="19">
        <v>3000000</v>
      </c>
    </row>
    <row r="6" spans="1:3" x14ac:dyDescent="0.25">
      <c r="A6" s="14">
        <v>900539052</v>
      </c>
      <c r="B6" s="11" t="s">
        <v>8</v>
      </c>
      <c r="C6" s="19">
        <v>150000000</v>
      </c>
    </row>
    <row r="7" spans="1:3" x14ac:dyDescent="0.25">
      <c r="A7" s="14">
        <v>901017839</v>
      </c>
      <c r="B7" s="11" t="s">
        <v>10</v>
      </c>
      <c r="C7" s="18">
        <v>1000000</v>
      </c>
    </row>
    <row r="8" spans="1:3" x14ac:dyDescent="0.25">
      <c r="A8" s="14">
        <v>52074253</v>
      </c>
      <c r="B8" s="11" t="s">
        <v>13</v>
      </c>
      <c r="C8" s="19">
        <v>4000000</v>
      </c>
    </row>
    <row r="9" spans="1:3" x14ac:dyDescent="0.25">
      <c r="A9" s="14">
        <v>1018454730</v>
      </c>
      <c r="B9" s="11" t="s">
        <v>14</v>
      </c>
      <c r="C9" s="19">
        <v>1000000</v>
      </c>
    </row>
    <row r="10" spans="1:3" x14ac:dyDescent="0.25">
      <c r="A10" s="14">
        <v>79643388</v>
      </c>
      <c r="B10" s="11" t="s">
        <v>900</v>
      </c>
      <c r="C10" s="19">
        <v>2000000</v>
      </c>
    </row>
    <row r="11" spans="1:3" x14ac:dyDescent="0.25">
      <c r="A11" s="14">
        <v>830059718</v>
      </c>
      <c r="B11" s="11" t="s">
        <v>16</v>
      </c>
      <c r="C11" s="18">
        <v>1000000</v>
      </c>
    </row>
    <row r="12" spans="1:3" x14ac:dyDescent="0.25">
      <c r="A12" s="14">
        <v>83056853</v>
      </c>
      <c r="B12" s="11" t="s">
        <v>17</v>
      </c>
      <c r="C12" s="18">
        <v>2000000</v>
      </c>
    </row>
    <row r="13" spans="1:3" x14ac:dyDescent="0.25">
      <c r="A13" s="14">
        <v>900527483</v>
      </c>
      <c r="B13" s="11" t="s">
        <v>18</v>
      </c>
      <c r="C13" s="18">
        <v>1000000</v>
      </c>
    </row>
    <row r="14" spans="1:3" x14ac:dyDescent="0.25">
      <c r="A14" s="14">
        <v>890207037</v>
      </c>
      <c r="B14" s="11" t="s">
        <v>19</v>
      </c>
      <c r="C14" s="18">
        <v>1000000</v>
      </c>
    </row>
    <row r="15" spans="1:3" x14ac:dyDescent="0.25">
      <c r="A15" s="14">
        <v>900573695</v>
      </c>
      <c r="B15" s="11" t="s">
        <v>1080</v>
      </c>
      <c r="C15" s="18">
        <v>1000000</v>
      </c>
    </row>
    <row r="16" spans="1:3" x14ac:dyDescent="0.25">
      <c r="A16" s="14">
        <v>901746296</v>
      </c>
      <c r="B16" s="11" t="s">
        <v>21</v>
      </c>
      <c r="C16" s="18">
        <v>1000000</v>
      </c>
    </row>
    <row r="17" spans="1:3" x14ac:dyDescent="0.25">
      <c r="A17" s="14">
        <v>900062314</v>
      </c>
      <c r="B17" s="11" t="s">
        <v>1081</v>
      </c>
      <c r="C17" s="18">
        <v>0</v>
      </c>
    </row>
    <row r="18" spans="1:3" x14ac:dyDescent="0.25">
      <c r="A18" s="14">
        <v>901734623</v>
      </c>
      <c r="B18" s="11" t="s">
        <v>22</v>
      </c>
      <c r="C18" s="19">
        <v>1000000</v>
      </c>
    </row>
    <row r="19" spans="1:3" x14ac:dyDescent="0.25">
      <c r="A19" s="14">
        <v>901734623</v>
      </c>
      <c r="B19" s="11" t="s">
        <v>22</v>
      </c>
      <c r="C19" s="19">
        <v>1000000</v>
      </c>
    </row>
    <row r="20" spans="1:3" x14ac:dyDescent="0.25">
      <c r="A20" s="14">
        <v>901075054</v>
      </c>
      <c r="B20" s="11" t="s">
        <v>23</v>
      </c>
      <c r="C20" s="18">
        <v>1000000</v>
      </c>
    </row>
    <row r="21" spans="1:3" x14ac:dyDescent="0.25">
      <c r="A21" s="14">
        <v>901880029</v>
      </c>
      <c r="B21" s="11" t="s">
        <v>885</v>
      </c>
      <c r="C21" s="19">
        <v>10000000</v>
      </c>
    </row>
    <row r="22" spans="1:3" x14ac:dyDescent="0.25">
      <c r="A22" s="14">
        <v>52164447</v>
      </c>
      <c r="B22" s="11" t="s">
        <v>941</v>
      </c>
      <c r="C22" s="19">
        <v>1000000</v>
      </c>
    </row>
    <row r="23" spans="1:3" x14ac:dyDescent="0.25">
      <c r="A23" s="14">
        <v>52120283</v>
      </c>
      <c r="B23" s="11" t="s">
        <v>24</v>
      </c>
      <c r="C23" s="18">
        <v>1000000</v>
      </c>
    </row>
    <row r="24" spans="1:3" x14ac:dyDescent="0.25">
      <c r="A24" s="14">
        <v>52962045</v>
      </c>
      <c r="B24" s="11" t="s">
        <v>25</v>
      </c>
      <c r="C24" s="18">
        <v>1000000</v>
      </c>
    </row>
    <row r="25" spans="1:3" x14ac:dyDescent="0.25">
      <c r="A25" s="14">
        <v>1075285456</v>
      </c>
      <c r="B25" s="11" t="s">
        <v>912</v>
      </c>
      <c r="C25" s="19">
        <v>4000000</v>
      </c>
    </row>
    <row r="26" spans="1:3" x14ac:dyDescent="0.25">
      <c r="A26" s="14">
        <v>382</v>
      </c>
      <c r="B26" s="11" t="s">
        <v>26</v>
      </c>
      <c r="C26" s="18">
        <v>1000000</v>
      </c>
    </row>
    <row r="27" spans="1:3" x14ac:dyDescent="0.25">
      <c r="A27" s="14">
        <v>426</v>
      </c>
      <c r="B27" s="11" t="s">
        <v>27</v>
      </c>
      <c r="C27" s="18">
        <v>1000000</v>
      </c>
    </row>
    <row r="28" spans="1:3" x14ac:dyDescent="0.25">
      <c r="A28" s="14">
        <v>145</v>
      </c>
      <c r="B28" s="11" t="s">
        <v>28</v>
      </c>
      <c r="C28" s="18">
        <v>1000000</v>
      </c>
    </row>
    <row r="29" spans="1:3" x14ac:dyDescent="0.25">
      <c r="A29" s="14">
        <v>126</v>
      </c>
      <c r="B29" s="11" t="s">
        <v>29</v>
      </c>
      <c r="C29" s="18">
        <v>1000000</v>
      </c>
    </row>
    <row r="30" spans="1:3" x14ac:dyDescent="0.25">
      <c r="A30" s="14">
        <v>126</v>
      </c>
      <c r="B30" s="11" t="s">
        <v>29</v>
      </c>
      <c r="C30" s="18">
        <v>1000000</v>
      </c>
    </row>
    <row r="31" spans="1:3" x14ac:dyDescent="0.25">
      <c r="A31" s="14">
        <v>123</v>
      </c>
      <c r="B31" s="11" t="s">
        <v>30</v>
      </c>
      <c r="C31" s="18">
        <v>1000000</v>
      </c>
    </row>
    <row r="32" spans="1:3" x14ac:dyDescent="0.25">
      <c r="A32" s="14">
        <v>79275011</v>
      </c>
      <c r="B32" s="11" t="s">
        <v>31</v>
      </c>
      <c r="C32" s="19">
        <v>1000000</v>
      </c>
    </row>
    <row r="33" spans="1:3" x14ac:dyDescent="0.25">
      <c r="A33" s="14">
        <v>901789519</v>
      </c>
      <c r="B33" s="11" t="s">
        <v>844</v>
      </c>
      <c r="C33" s="19">
        <v>5000000</v>
      </c>
    </row>
    <row r="34" spans="1:3" x14ac:dyDescent="0.25">
      <c r="A34" s="14">
        <v>900858868</v>
      </c>
      <c r="B34" s="11" t="s">
        <v>32</v>
      </c>
      <c r="C34" s="19">
        <v>80000000</v>
      </c>
    </row>
    <row r="35" spans="1:3" x14ac:dyDescent="0.25">
      <c r="A35" s="14">
        <v>901806270</v>
      </c>
      <c r="B35" s="11" t="s">
        <v>33</v>
      </c>
      <c r="C35" s="19">
        <v>3000000</v>
      </c>
    </row>
    <row r="36" spans="1:3" x14ac:dyDescent="0.25">
      <c r="A36" s="14">
        <v>890304130</v>
      </c>
      <c r="B36" s="11" t="s">
        <v>34</v>
      </c>
      <c r="C36" s="19">
        <v>50000000</v>
      </c>
    </row>
    <row r="37" spans="1:3" x14ac:dyDescent="0.25">
      <c r="A37" s="14">
        <v>890103400</v>
      </c>
      <c r="B37" s="11" t="s">
        <v>35</v>
      </c>
      <c r="C37" s="18">
        <v>1000000</v>
      </c>
    </row>
    <row r="38" spans="1:3" x14ac:dyDescent="0.25">
      <c r="A38" s="14">
        <v>900306538</v>
      </c>
      <c r="B38" s="11" t="s">
        <v>1058</v>
      </c>
      <c r="C38" s="18">
        <v>0</v>
      </c>
    </row>
    <row r="39" spans="1:3" x14ac:dyDescent="0.25">
      <c r="A39" s="14">
        <v>901135506</v>
      </c>
      <c r="B39" s="11" t="s">
        <v>37</v>
      </c>
      <c r="C39" s="18">
        <v>1000000</v>
      </c>
    </row>
    <row r="40" spans="1:3" x14ac:dyDescent="0.25">
      <c r="A40" s="14">
        <v>901104633</v>
      </c>
      <c r="B40" s="11" t="s">
        <v>38</v>
      </c>
      <c r="C40" s="18">
        <v>1000000</v>
      </c>
    </row>
    <row r="41" spans="1:3" x14ac:dyDescent="0.25">
      <c r="A41" s="14">
        <v>901015983</v>
      </c>
      <c r="B41" s="11" t="s">
        <v>887</v>
      </c>
      <c r="C41" s="19">
        <v>70000000</v>
      </c>
    </row>
    <row r="42" spans="1:3" x14ac:dyDescent="0.25">
      <c r="A42" s="14">
        <v>901406235</v>
      </c>
      <c r="B42" s="11" t="s">
        <v>1082</v>
      </c>
      <c r="C42" s="18">
        <v>1000000</v>
      </c>
    </row>
    <row r="43" spans="1:3" x14ac:dyDescent="0.25">
      <c r="A43" s="14">
        <v>1054374007</v>
      </c>
      <c r="B43" s="11" t="s">
        <v>39</v>
      </c>
      <c r="C43" s="18">
        <v>1000000</v>
      </c>
    </row>
    <row r="44" spans="1:3" x14ac:dyDescent="0.25">
      <c r="A44" s="14">
        <v>901921762</v>
      </c>
      <c r="B44" s="11" t="s">
        <v>906</v>
      </c>
      <c r="C44" s="19">
        <v>50000000</v>
      </c>
    </row>
    <row r="45" spans="1:3" x14ac:dyDescent="0.25">
      <c r="A45" s="14">
        <v>14255792</v>
      </c>
      <c r="B45" s="11" t="s">
        <v>40</v>
      </c>
      <c r="C45" s="18">
        <v>1000000</v>
      </c>
    </row>
    <row r="46" spans="1:3" x14ac:dyDescent="0.25">
      <c r="A46" s="14">
        <v>19299655</v>
      </c>
      <c r="B46" s="11" t="s">
        <v>41</v>
      </c>
      <c r="C46" s="18">
        <v>1000000</v>
      </c>
    </row>
    <row r="47" spans="1:3" x14ac:dyDescent="0.25">
      <c r="A47" s="14">
        <v>79141003</v>
      </c>
      <c r="B47" s="11" t="s">
        <v>42</v>
      </c>
      <c r="C47" s="18">
        <v>1000000</v>
      </c>
    </row>
    <row r="48" spans="1:3" x14ac:dyDescent="0.25">
      <c r="A48" s="14">
        <v>80048113</v>
      </c>
      <c r="B48" s="11" t="s">
        <v>43</v>
      </c>
      <c r="C48" s="18">
        <v>2000000</v>
      </c>
    </row>
    <row r="49" spans="1:3" x14ac:dyDescent="0.25">
      <c r="A49" s="14">
        <v>19108080</v>
      </c>
      <c r="B49" s="11" t="s">
        <v>1083</v>
      </c>
      <c r="C49" s="18">
        <v>1000000</v>
      </c>
    </row>
    <row r="50" spans="1:3" x14ac:dyDescent="0.25">
      <c r="A50" s="14">
        <v>16188451</v>
      </c>
      <c r="B50" s="11" t="s">
        <v>44</v>
      </c>
      <c r="C50" s="18">
        <v>1000000</v>
      </c>
    </row>
    <row r="51" spans="1:3" x14ac:dyDescent="0.25">
      <c r="A51" s="14">
        <v>901086046</v>
      </c>
      <c r="B51" s="11" t="s">
        <v>45</v>
      </c>
      <c r="C51" s="18">
        <v>0</v>
      </c>
    </row>
    <row r="52" spans="1:3" x14ac:dyDescent="0.25">
      <c r="A52" s="14">
        <v>901086046</v>
      </c>
      <c r="B52" s="11" t="s">
        <v>45</v>
      </c>
      <c r="C52" s="18">
        <v>0</v>
      </c>
    </row>
    <row r="53" spans="1:3" x14ac:dyDescent="0.25">
      <c r="A53" s="14">
        <v>901086046</v>
      </c>
      <c r="B53" s="11" t="s">
        <v>45</v>
      </c>
      <c r="C53" s="18">
        <v>0</v>
      </c>
    </row>
    <row r="54" spans="1:3" x14ac:dyDescent="0.25">
      <c r="A54" s="14">
        <v>221</v>
      </c>
      <c r="B54" s="11" t="s">
        <v>46</v>
      </c>
      <c r="C54" s="18">
        <v>1000000</v>
      </c>
    </row>
    <row r="55" spans="1:3" x14ac:dyDescent="0.25">
      <c r="A55" s="14">
        <v>63309877</v>
      </c>
      <c r="B55" s="11" t="s">
        <v>913</v>
      </c>
      <c r="C55" s="19">
        <v>2000000</v>
      </c>
    </row>
    <row r="56" spans="1:3" x14ac:dyDescent="0.25">
      <c r="A56" s="14">
        <v>35331038</v>
      </c>
      <c r="B56" s="11" t="s">
        <v>863</v>
      </c>
      <c r="C56" s="19">
        <v>0</v>
      </c>
    </row>
    <row r="57" spans="1:3" x14ac:dyDescent="0.25">
      <c r="A57" s="14">
        <v>39777486</v>
      </c>
      <c r="B57" s="11" t="s">
        <v>1084</v>
      </c>
      <c r="C57" s="18">
        <v>1000000</v>
      </c>
    </row>
    <row r="58" spans="1:3" x14ac:dyDescent="0.25">
      <c r="A58" s="14">
        <v>1002</v>
      </c>
      <c r="B58" s="11" t="s">
        <v>1085</v>
      </c>
      <c r="C58" s="18">
        <v>0</v>
      </c>
    </row>
    <row r="59" spans="1:3" x14ac:dyDescent="0.25">
      <c r="A59" s="14">
        <v>31412200</v>
      </c>
      <c r="B59" s="11" t="s">
        <v>914</v>
      </c>
      <c r="C59" s="19">
        <v>0</v>
      </c>
    </row>
    <row r="60" spans="1:3" x14ac:dyDescent="0.25">
      <c r="A60" s="14">
        <v>53176953</v>
      </c>
      <c r="B60" s="11" t="s">
        <v>47</v>
      </c>
      <c r="C60" s="18">
        <v>1000000</v>
      </c>
    </row>
    <row r="61" spans="1:3" x14ac:dyDescent="0.25">
      <c r="A61" s="14">
        <v>52259025</v>
      </c>
      <c r="B61" s="11" t="s">
        <v>49</v>
      </c>
      <c r="C61" s="19">
        <v>1000000</v>
      </c>
    </row>
    <row r="62" spans="1:3" x14ac:dyDescent="0.25">
      <c r="A62" s="14">
        <v>1032404402</v>
      </c>
      <c r="B62" s="11" t="s">
        <v>50</v>
      </c>
      <c r="C62" s="19">
        <v>1000000</v>
      </c>
    </row>
    <row r="63" spans="1:3" x14ac:dyDescent="0.25">
      <c r="A63" s="14">
        <v>1016049623</v>
      </c>
      <c r="B63" s="11" t="s">
        <v>51</v>
      </c>
      <c r="C63" s="19">
        <v>1000000</v>
      </c>
    </row>
    <row r="64" spans="1:3" x14ac:dyDescent="0.25">
      <c r="A64" s="14">
        <v>41696441</v>
      </c>
      <c r="B64" s="11" t="s">
        <v>52</v>
      </c>
      <c r="C64" s="19">
        <v>1000000</v>
      </c>
    </row>
    <row r="65" spans="1:3" x14ac:dyDescent="0.25">
      <c r="A65" s="14">
        <v>51</v>
      </c>
      <c r="B65" s="11" t="s">
        <v>53</v>
      </c>
      <c r="C65" s="19">
        <v>1000000</v>
      </c>
    </row>
    <row r="66" spans="1:3" x14ac:dyDescent="0.25">
      <c r="A66" s="14">
        <v>51848424</v>
      </c>
      <c r="B66" s="11" t="s">
        <v>54</v>
      </c>
      <c r="C66" s="19">
        <v>1000000</v>
      </c>
    </row>
    <row r="67" spans="1:3" x14ac:dyDescent="0.25">
      <c r="A67" s="14">
        <v>52313437</v>
      </c>
      <c r="B67" s="11" t="s">
        <v>981</v>
      </c>
      <c r="C67" s="19">
        <v>2000000</v>
      </c>
    </row>
    <row r="68" spans="1:3" x14ac:dyDescent="0.25">
      <c r="A68" s="14">
        <v>1020792848</v>
      </c>
      <c r="B68" s="11" t="s">
        <v>55</v>
      </c>
      <c r="C68" s="19">
        <v>1000000</v>
      </c>
    </row>
    <row r="69" spans="1:3" x14ac:dyDescent="0.25">
      <c r="A69" s="14">
        <v>1014224323</v>
      </c>
      <c r="B69" s="11" t="s">
        <v>56</v>
      </c>
      <c r="C69" s="19">
        <v>1000000</v>
      </c>
    </row>
    <row r="70" spans="1:3" x14ac:dyDescent="0.25">
      <c r="A70" s="14">
        <v>1012447789</v>
      </c>
      <c r="B70" s="11" t="s">
        <v>57</v>
      </c>
      <c r="C70" s="19">
        <v>1000000</v>
      </c>
    </row>
    <row r="71" spans="1:3" x14ac:dyDescent="0.25">
      <c r="A71" s="14">
        <v>1012382743</v>
      </c>
      <c r="B71" s="11" t="s">
        <v>58</v>
      </c>
      <c r="C71" s="19">
        <v>1000000</v>
      </c>
    </row>
    <row r="72" spans="1:3" x14ac:dyDescent="0.25">
      <c r="A72" s="14">
        <v>93473071</v>
      </c>
      <c r="B72" s="11" t="s">
        <v>59</v>
      </c>
      <c r="C72" s="19">
        <v>1000000</v>
      </c>
    </row>
    <row r="73" spans="1:3" x14ac:dyDescent="0.25">
      <c r="A73" s="14">
        <v>1018454306</v>
      </c>
      <c r="B73" s="11" t="s">
        <v>60</v>
      </c>
      <c r="C73" s="19">
        <v>1000000</v>
      </c>
    </row>
    <row r="74" spans="1:3" x14ac:dyDescent="0.25">
      <c r="A74" s="14">
        <v>1018454306</v>
      </c>
      <c r="B74" s="11" t="s">
        <v>60</v>
      </c>
      <c r="C74" s="19">
        <v>1000000</v>
      </c>
    </row>
    <row r="75" spans="1:3" x14ac:dyDescent="0.25">
      <c r="A75" s="14">
        <v>1022397410</v>
      </c>
      <c r="B75" s="11" t="s">
        <v>1086</v>
      </c>
      <c r="C75" s="18">
        <v>0</v>
      </c>
    </row>
    <row r="76" spans="1:3" x14ac:dyDescent="0.25">
      <c r="A76" s="14">
        <v>1022442848</v>
      </c>
      <c r="B76" s="11" t="s">
        <v>792</v>
      </c>
      <c r="C76" s="19">
        <v>1000000</v>
      </c>
    </row>
    <row r="77" spans="1:3" x14ac:dyDescent="0.25">
      <c r="A77" s="14">
        <v>10749299520</v>
      </c>
      <c r="B77" s="11" t="s">
        <v>61</v>
      </c>
      <c r="C77" s="19">
        <v>1000000</v>
      </c>
    </row>
    <row r="78" spans="1:3" x14ac:dyDescent="0.25">
      <c r="A78" s="14">
        <v>1007393681</v>
      </c>
      <c r="B78" s="11" t="s">
        <v>829</v>
      </c>
      <c r="C78" s="19">
        <v>2000000</v>
      </c>
    </row>
    <row r="79" spans="1:3" x14ac:dyDescent="0.25">
      <c r="A79" s="14">
        <v>1007393681</v>
      </c>
      <c r="B79" s="11" t="s">
        <v>829</v>
      </c>
      <c r="C79" s="19">
        <v>2000000</v>
      </c>
    </row>
    <row r="80" spans="1:3" x14ac:dyDescent="0.25">
      <c r="A80" s="14">
        <v>359</v>
      </c>
      <c r="B80" s="11" t="s">
        <v>62</v>
      </c>
      <c r="C80" s="19">
        <v>1000000</v>
      </c>
    </row>
    <row r="81" spans="1:3" x14ac:dyDescent="0.25">
      <c r="A81" s="14">
        <v>80266045</v>
      </c>
      <c r="B81" s="11" t="s">
        <v>63</v>
      </c>
      <c r="C81" s="19">
        <v>1000000</v>
      </c>
    </row>
    <row r="82" spans="1:3" x14ac:dyDescent="0.25">
      <c r="A82" s="14">
        <v>1030546956</v>
      </c>
      <c r="B82" s="11" t="s">
        <v>1087</v>
      </c>
      <c r="C82" s="18">
        <v>1000000</v>
      </c>
    </row>
    <row r="83" spans="1:3" x14ac:dyDescent="0.25">
      <c r="A83" s="14">
        <v>80110775</v>
      </c>
      <c r="B83" s="11" t="s">
        <v>64</v>
      </c>
      <c r="C83" s="19">
        <v>1000000</v>
      </c>
    </row>
    <row r="84" spans="1:3" x14ac:dyDescent="0.25">
      <c r="A84" s="14">
        <v>1234641384</v>
      </c>
      <c r="B84" s="11" t="s">
        <v>65</v>
      </c>
      <c r="C84" s="19">
        <v>50000000</v>
      </c>
    </row>
    <row r="85" spans="1:3" x14ac:dyDescent="0.25">
      <c r="A85" s="14">
        <v>1003712740</v>
      </c>
      <c r="B85" s="11" t="s">
        <v>66</v>
      </c>
      <c r="C85" s="18">
        <v>1000000</v>
      </c>
    </row>
    <row r="86" spans="1:3" x14ac:dyDescent="0.25">
      <c r="A86" s="14">
        <v>1014222929</v>
      </c>
      <c r="B86" s="11" t="s">
        <v>1088</v>
      </c>
      <c r="C86" s="19">
        <v>3000000</v>
      </c>
    </row>
    <row r="87" spans="1:3" x14ac:dyDescent="0.25">
      <c r="A87" s="14">
        <v>901572006</v>
      </c>
      <c r="B87" s="11" t="s">
        <v>67</v>
      </c>
      <c r="C87" s="19">
        <v>1000000</v>
      </c>
    </row>
    <row r="88" spans="1:3" x14ac:dyDescent="0.25">
      <c r="A88" s="14">
        <v>700352450</v>
      </c>
      <c r="B88" s="11" t="s">
        <v>983</v>
      </c>
      <c r="C88" s="19">
        <v>0</v>
      </c>
    </row>
    <row r="89" spans="1:3" x14ac:dyDescent="0.25">
      <c r="A89" s="14">
        <v>356</v>
      </c>
      <c r="B89" s="11" t="s">
        <v>68</v>
      </c>
      <c r="C89" s="19">
        <v>1000000</v>
      </c>
    </row>
    <row r="90" spans="1:3" x14ac:dyDescent="0.25">
      <c r="A90" s="14">
        <v>134</v>
      </c>
      <c r="B90" s="11" t="s">
        <v>69</v>
      </c>
      <c r="C90" s="18">
        <v>1000000</v>
      </c>
    </row>
    <row r="91" spans="1:3" x14ac:dyDescent="0.25">
      <c r="A91" s="14">
        <v>3539423</v>
      </c>
      <c r="B91" s="11" t="s">
        <v>70</v>
      </c>
      <c r="C91" s="18">
        <v>1000000</v>
      </c>
    </row>
    <row r="92" spans="1:3" x14ac:dyDescent="0.25">
      <c r="A92" s="14">
        <v>1031151163</v>
      </c>
      <c r="B92" s="11" t="s">
        <v>943</v>
      </c>
      <c r="C92" s="19">
        <v>1000000</v>
      </c>
    </row>
    <row r="93" spans="1:3" x14ac:dyDescent="0.25">
      <c r="A93" s="14">
        <v>901394633</v>
      </c>
      <c r="B93" s="11" t="s">
        <v>71</v>
      </c>
      <c r="C93" s="18">
        <v>1000000</v>
      </c>
    </row>
    <row r="94" spans="1:3" x14ac:dyDescent="0.25">
      <c r="A94" s="14">
        <v>14250955</v>
      </c>
      <c r="B94" s="11" t="s">
        <v>72</v>
      </c>
      <c r="C94" s="18">
        <v>1000000</v>
      </c>
    </row>
    <row r="95" spans="1:3" x14ac:dyDescent="0.25">
      <c r="A95" s="14">
        <v>900282043</v>
      </c>
      <c r="B95" s="11" t="s">
        <v>1089</v>
      </c>
      <c r="C95" s="19">
        <v>0</v>
      </c>
    </row>
    <row r="96" spans="1:3" x14ac:dyDescent="0.25">
      <c r="A96" s="14">
        <v>900988921</v>
      </c>
      <c r="B96" s="11" t="s">
        <v>986</v>
      </c>
      <c r="C96" s="18">
        <v>1000000</v>
      </c>
    </row>
    <row r="97" spans="1:3" x14ac:dyDescent="0.25">
      <c r="A97" s="14">
        <v>1013583970</v>
      </c>
      <c r="B97" s="11" t="s">
        <v>1090</v>
      </c>
      <c r="C97" s="18">
        <v>0</v>
      </c>
    </row>
    <row r="98" spans="1:3" x14ac:dyDescent="0.25">
      <c r="A98" s="14">
        <v>1101176203</v>
      </c>
      <c r="B98" s="11" t="s">
        <v>73</v>
      </c>
      <c r="C98" s="18">
        <v>1000000</v>
      </c>
    </row>
    <row r="99" spans="1:3" x14ac:dyDescent="0.25">
      <c r="A99" s="14">
        <v>387</v>
      </c>
      <c r="B99" s="11" t="s">
        <v>74</v>
      </c>
      <c r="C99" s="18">
        <v>1000000</v>
      </c>
    </row>
    <row r="100" spans="1:3" x14ac:dyDescent="0.25">
      <c r="A100" s="14">
        <v>1026260761</v>
      </c>
      <c r="B100" s="11" t="s">
        <v>1091</v>
      </c>
      <c r="C100" s="18">
        <v>1000000</v>
      </c>
    </row>
    <row r="101" spans="1:3" x14ac:dyDescent="0.25">
      <c r="A101" s="14">
        <v>901174547</v>
      </c>
      <c r="B101" s="11" t="s">
        <v>75</v>
      </c>
      <c r="C101" s="18">
        <v>1000000</v>
      </c>
    </row>
    <row r="102" spans="1:3" x14ac:dyDescent="0.25">
      <c r="A102" s="14">
        <v>901202142</v>
      </c>
      <c r="B102" s="11" t="s">
        <v>76</v>
      </c>
      <c r="C102" s="19">
        <v>1000000</v>
      </c>
    </row>
    <row r="103" spans="1:3" x14ac:dyDescent="0.25">
      <c r="A103" s="14">
        <v>900143591</v>
      </c>
      <c r="B103" s="11" t="s">
        <v>77</v>
      </c>
      <c r="C103" s="18">
        <v>1000000</v>
      </c>
    </row>
    <row r="104" spans="1:3" x14ac:dyDescent="0.25">
      <c r="A104" s="14">
        <v>860325638</v>
      </c>
      <c r="B104" s="11" t="s">
        <v>988</v>
      </c>
      <c r="C104" s="18">
        <v>1000000</v>
      </c>
    </row>
    <row r="105" spans="1:3" x14ac:dyDescent="0.25">
      <c r="A105" s="14">
        <v>901058446</v>
      </c>
      <c r="B105" s="11" t="s">
        <v>1092</v>
      </c>
      <c r="C105" s="19">
        <v>0</v>
      </c>
    </row>
    <row r="106" spans="1:3" x14ac:dyDescent="0.25">
      <c r="A106" s="14">
        <v>901378471</v>
      </c>
      <c r="B106" s="11" t="s">
        <v>78</v>
      </c>
      <c r="C106" s="18">
        <v>1000000</v>
      </c>
    </row>
    <row r="107" spans="1:3" x14ac:dyDescent="0.25">
      <c r="A107" s="14">
        <v>1015415690</v>
      </c>
      <c r="B107" s="11" t="s">
        <v>80</v>
      </c>
      <c r="C107" s="19">
        <v>1000000</v>
      </c>
    </row>
    <row r="108" spans="1:3" x14ac:dyDescent="0.25">
      <c r="A108" s="14">
        <v>901632110</v>
      </c>
      <c r="B108" s="11" t="s">
        <v>812</v>
      </c>
      <c r="C108" s="19">
        <v>1000000</v>
      </c>
    </row>
    <row r="109" spans="1:3" x14ac:dyDescent="0.25">
      <c r="A109" s="14">
        <v>901092340</v>
      </c>
      <c r="B109" s="11" t="s">
        <v>81</v>
      </c>
      <c r="C109" s="19">
        <v>1000000</v>
      </c>
    </row>
    <row r="110" spans="1:3" x14ac:dyDescent="0.25">
      <c r="A110" s="14">
        <v>901905843</v>
      </c>
      <c r="B110" s="11" t="s">
        <v>990</v>
      </c>
      <c r="C110" s="19">
        <v>5000000</v>
      </c>
    </row>
    <row r="111" spans="1:3" x14ac:dyDescent="0.25">
      <c r="A111" s="14">
        <v>901563450</v>
      </c>
      <c r="B111" s="11" t="s">
        <v>814</v>
      </c>
      <c r="C111" s="19">
        <v>30000000</v>
      </c>
    </row>
    <row r="112" spans="1:3" x14ac:dyDescent="0.25">
      <c r="A112" s="14">
        <v>901563450</v>
      </c>
      <c r="B112" s="11" t="s">
        <v>814</v>
      </c>
      <c r="C112" s="19">
        <v>30000000</v>
      </c>
    </row>
    <row r="113" spans="1:3" x14ac:dyDescent="0.25">
      <c r="A113" s="14">
        <v>901563450</v>
      </c>
      <c r="B113" s="11" t="s">
        <v>814</v>
      </c>
      <c r="C113" s="19">
        <v>30000000</v>
      </c>
    </row>
    <row r="114" spans="1:3" x14ac:dyDescent="0.25">
      <c r="A114" s="14">
        <v>901668425</v>
      </c>
      <c r="B114" s="11" t="s">
        <v>786</v>
      </c>
      <c r="C114" s="18">
        <v>1000000</v>
      </c>
    </row>
    <row r="115" spans="1:3" x14ac:dyDescent="0.25">
      <c r="A115" s="14">
        <v>901778934</v>
      </c>
      <c r="B115" s="11" t="s">
        <v>82</v>
      </c>
      <c r="C115" s="19">
        <v>2000000</v>
      </c>
    </row>
    <row r="116" spans="1:3" x14ac:dyDescent="0.25">
      <c r="A116" s="14">
        <v>860034313</v>
      </c>
      <c r="B116" s="11" t="s">
        <v>83</v>
      </c>
      <c r="C116" s="18">
        <v>1000000</v>
      </c>
    </row>
    <row r="117" spans="1:3" x14ac:dyDescent="0.25">
      <c r="A117" s="14">
        <v>901181660</v>
      </c>
      <c r="B117" s="11" t="s">
        <v>84</v>
      </c>
      <c r="C117" s="18">
        <v>1000000</v>
      </c>
    </row>
    <row r="118" spans="1:3" x14ac:dyDescent="0.25">
      <c r="A118" s="14">
        <v>901181660</v>
      </c>
      <c r="B118" s="11" t="s">
        <v>84</v>
      </c>
      <c r="C118" s="18">
        <v>1000000</v>
      </c>
    </row>
    <row r="119" spans="1:3" x14ac:dyDescent="0.25">
      <c r="A119" s="14">
        <v>52334222</v>
      </c>
      <c r="B119" s="11" t="s">
        <v>945</v>
      </c>
      <c r="C119" s="19">
        <v>0</v>
      </c>
    </row>
    <row r="120" spans="1:3" x14ac:dyDescent="0.25">
      <c r="A120" s="14">
        <v>51713266</v>
      </c>
      <c r="B120" s="11" t="s">
        <v>85</v>
      </c>
      <c r="C120" s="19">
        <v>1000000</v>
      </c>
    </row>
    <row r="121" spans="1:3" x14ac:dyDescent="0.25">
      <c r="A121" s="14">
        <v>51713266</v>
      </c>
      <c r="B121" s="11" t="s">
        <v>85</v>
      </c>
      <c r="C121" s="19">
        <v>1000000</v>
      </c>
    </row>
    <row r="122" spans="1:3" x14ac:dyDescent="0.25">
      <c r="A122" s="14">
        <v>52496918</v>
      </c>
      <c r="B122" s="11" t="s">
        <v>1093</v>
      </c>
      <c r="C122" s="19">
        <v>1000000</v>
      </c>
    </row>
    <row r="123" spans="1:3" x14ac:dyDescent="0.25">
      <c r="A123" s="14">
        <v>901515967</v>
      </c>
      <c r="B123" s="11" t="s">
        <v>86</v>
      </c>
      <c r="C123" s="18">
        <v>1000000</v>
      </c>
    </row>
    <row r="124" spans="1:3" x14ac:dyDescent="0.25">
      <c r="A124" s="14">
        <v>1001183382</v>
      </c>
      <c r="B124" s="11" t="s">
        <v>915</v>
      </c>
      <c r="C124" s="19">
        <v>2000000</v>
      </c>
    </row>
    <row r="125" spans="1:3" x14ac:dyDescent="0.25">
      <c r="A125" s="14">
        <v>5660450</v>
      </c>
      <c r="B125" s="11" t="s">
        <v>87</v>
      </c>
      <c r="C125" s="18">
        <v>1000000</v>
      </c>
    </row>
    <row r="126" spans="1:3" x14ac:dyDescent="0.25">
      <c r="A126" s="14">
        <v>26125960</v>
      </c>
      <c r="B126" s="11" t="s">
        <v>88</v>
      </c>
      <c r="C126" s="19">
        <v>1000000</v>
      </c>
    </row>
    <row r="127" spans="1:3" x14ac:dyDescent="0.25">
      <c r="A127" s="14">
        <v>52287596</v>
      </c>
      <c r="B127" s="11" t="s">
        <v>89</v>
      </c>
      <c r="C127" s="19">
        <v>1000000</v>
      </c>
    </row>
    <row r="128" spans="1:3" x14ac:dyDescent="0.25">
      <c r="A128" s="14">
        <v>901632942</v>
      </c>
      <c r="B128" s="11" t="s">
        <v>90</v>
      </c>
      <c r="C128" s="19">
        <v>1000000</v>
      </c>
    </row>
    <row r="129" spans="1:3" x14ac:dyDescent="0.25">
      <c r="A129" s="14">
        <v>901699915</v>
      </c>
      <c r="B129" s="11" t="s">
        <v>91</v>
      </c>
      <c r="C129" s="19">
        <v>10000000</v>
      </c>
    </row>
    <row r="130" spans="1:3" x14ac:dyDescent="0.25">
      <c r="A130" s="14">
        <v>901643368</v>
      </c>
      <c r="B130" s="11" t="s">
        <v>92</v>
      </c>
      <c r="C130" s="19">
        <v>1000000</v>
      </c>
    </row>
    <row r="131" spans="1:3" x14ac:dyDescent="0.25">
      <c r="A131" s="14">
        <v>17388067</v>
      </c>
      <c r="B131" s="11" t="s">
        <v>93</v>
      </c>
      <c r="C131" s="19">
        <v>1000000</v>
      </c>
    </row>
    <row r="132" spans="1:3" x14ac:dyDescent="0.25">
      <c r="A132" s="14">
        <v>38289657</v>
      </c>
      <c r="B132" s="11" t="s">
        <v>94</v>
      </c>
      <c r="C132" s="18">
        <v>1000000</v>
      </c>
    </row>
    <row r="133" spans="1:3" x14ac:dyDescent="0.25">
      <c r="A133" s="14">
        <v>900413541</v>
      </c>
      <c r="B133" s="11" t="s">
        <v>95</v>
      </c>
      <c r="C133" s="19">
        <v>1000000</v>
      </c>
    </row>
    <row r="134" spans="1:3" x14ac:dyDescent="0.25">
      <c r="A134" s="14">
        <v>1030662279</v>
      </c>
      <c r="B134" s="11" t="s">
        <v>96</v>
      </c>
      <c r="C134" s="18">
        <v>1000000</v>
      </c>
    </row>
    <row r="135" spans="1:3" x14ac:dyDescent="0.25">
      <c r="A135" s="14">
        <v>406</v>
      </c>
      <c r="B135" s="11" t="s">
        <v>97</v>
      </c>
      <c r="C135" s="19">
        <v>1000000</v>
      </c>
    </row>
    <row r="136" spans="1:3" x14ac:dyDescent="0.25">
      <c r="A136" s="14">
        <v>200</v>
      </c>
      <c r="B136" s="11" t="s">
        <v>98</v>
      </c>
      <c r="C136" s="19">
        <v>1000000</v>
      </c>
    </row>
    <row r="137" spans="1:3" x14ac:dyDescent="0.25">
      <c r="A137" s="14">
        <v>901364951</v>
      </c>
      <c r="B137" s="11" t="s">
        <v>98</v>
      </c>
      <c r="C137" s="19">
        <v>1000000</v>
      </c>
    </row>
    <row r="138" spans="1:3" x14ac:dyDescent="0.25">
      <c r="A138" s="14">
        <v>900777454</v>
      </c>
      <c r="B138" s="11" t="s">
        <v>99</v>
      </c>
      <c r="C138" s="19">
        <v>1000000</v>
      </c>
    </row>
    <row r="139" spans="1:3" x14ac:dyDescent="0.25">
      <c r="A139" s="14">
        <v>901423456</v>
      </c>
      <c r="B139" s="11" t="s">
        <v>100</v>
      </c>
      <c r="C139" s="19">
        <v>1000000</v>
      </c>
    </row>
    <row r="140" spans="1:3" x14ac:dyDescent="0.25">
      <c r="A140" s="14">
        <v>901228788</v>
      </c>
      <c r="B140" s="11" t="s">
        <v>101</v>
      </c>
      <c r="C140" s="19">
        <v>1000000</v>
      </c>
    </row>
    <row r="141" spans="1:3" x14ac:dyDescent="0.25">
      <c r="A141" s="14">
        <v>901307291</v>
      </c>
      <c r="B141" s="11" t="s">
        <v>1094</v>
      </c>
      <c r="C141" s="18">
        <v>1000000</v>
      </c>
    </row>
    <row r="142" spans="1:3" x14ac:dyDescent="0.25">
      <c r="A142" s="14">
        <v>901650087</v>
      </c>
      <c r="B142" s="11" t="s">
        <v>907</v>
      </c>
      <c r="C142" s="19">
        <v>1000000</v>
      </c>
    </row>
    <row r="143" spans="1:3" x14ac:dyDescent="0.25">
      <c r="A143" s="14">
        <v>860007336</v>
      </c>
      <c r="B143" s="11" t="s">
        <v>102</v>
      </c>
      <c r="C143" s="19">
        <v>1500000000</v>
      </c>
    </row>
    <row r="144" spans="1:3" x14ac:dyDescent="0.25">
      <c r="A144" s="14">
        <v>1030530423</v>
      </c>
      <c r="B144" s="11" t="s">
        <v>1095</v>
      </c>
      <c r="C144" s="18">
        <v>0</v>
      </c>
    </row>
    <row r="145" spans="1:3" x14ac:dyDescent="0.25">
      <c r="A145" s="14">
        <v>129</v>
      </c>
      <c r="B145" s="11" t="s">
        <v>104</v>
      </c>
      <c r="C145" s="18">
        <v>1000000</v>
      </c>
    </row>
    <row r="146" spans="1:3" x14ac:dyDescent="0.25">
      <c r="A146" s="14">
        <v>94453786</v>
      </c>
      <c r="B146" s="11" t="s">
        <v>105</v>
      </c>
      <c r="C146" s="19">
        <v>1000000</v>
      </c>
    </row>
    <row r="147" spans="1:3" x14ac:dyDescent="0.25">
      <c r="A147" s="14">
        <v>378</v>
      </c>
      <c r="B147" s="11" t="s">
        <v>106</v>
      </c>
      <c r="C147" s="18">
        <v>1000000</v>
      </c>
    </row>
    <row r="148" spans="1:3" x14ac:dyDescent="0.25">
      <c r="A148" s="14">
        <v>901737376</v>
      </c>
      <c r="B148" s="11" t="s">
        <v>820</v>
      </c>
      <c r="C148" s="19">
        <v>4000000</v>
      </c>
    </row>
    <row r="149" spans="1:3" x14ac:dyDescent="0.25">
      <c r="A149" s="14">
        <v>103</v>
      </c>
      <c r="B149" s="11" t="s">
        <v>107</v>
      </c>
      <c r="C149" s="19">
        <v>1000000</v>
      </c>
    </row>
    <row r="150" spans="1:3" x14ac:dyDescent="0.25">
      <c r="A150" s="14">
        <v>114</v>
      </c>
      <c r="B150" s="11" t="s">
        <v>1096</v>
      </c>
      <c r="C150" s="18">
        <v>1000000</v>
      </c>
    </row>
    <row r="151" spans="1:3" x14ac:dyDescent="0.25">
      <c r="A151" s="14">
        <v>79382679</v>
      </c>
      <c r="B151" s="11" t="s">
        <v>108</v>
      </c>
      <c r="C151" s="18">
        <v>1000000</v>
      </c>
    </row>
    <row r="152" spans="1:3" x14ac:dyDescent="0.25">
      <c r="A152" s="14">
        <v>900906554</v>
      </c>
      <c r="B152" s="11" t="s">
        <v>109</v>
      </c>
      <c r="C152" s="19">
        <v>120000000</v>
      </c>
    </row>
    <row r="153" spans="1:3" x14ac:dyDescent="0.25">
      <c r="A153" s="14">
        <v>901627338</v>
      </c>
      <c r="B153" s="11" t="s">
        <v>111</v>
      </c>
      <c r="C153" s="18">
        <v>1000000</v>
      </c>
    </row>
    <row r="154" spans="1:3" x14ac:dyDescent="0.25">
      <c r="A154" s="14">
        <v>143</v>
      </c>
      <c r="B154" s="11" t="s">
        <v>112</v>
      </c>
      <c r="C154" s="18">
        <v>1000000</v>
      </c>
    </row>
    <row r="155" spans="1:3" x14ac:dyDescent="0.25">
      <c r="A155" s="14">
        <v>144</v>
      </c>
      <c r="B155" s="11" t="s">
        <v>112</v>
      </c>
      <c r="C155" s="18">
        <v>1000000</v>
      </c>
    </row>
    <row r="156" spans="1:3" x14ac:dyDescent="0.25">
      <c r="A156" s="14">
        <v>79126370</v>
      </c>
      <c r="B156" s="11" t="s">
        <v>113</v>
      </c>
      <c r="C156" s="18">
        <v>1000000</v>
      </c>
    </row>
    <row r="157" spans="1:3" x14ac:dyDescent="0.25">
      <c r="A157" s="14">
        <v>93392103</v>
      </c>
      <c r="B157" s="11" t="s">
        <v>114</v>
      </c>
      <c r="C157" s="18">
        <v>1000000</v>
      </c>
    </row>
    <row r="158" spans="1:3" x14ac:dyDescent="0.25">
      <c r="A158" s="14">
        <v>451</v>
      </c>
      <c r="B158" s="11" t="s">
        <v>115</v>
      </c>
      <c r="C158" s="18">
        <v>1000000</v>
      </c>
    </row>
    <row r="159" spans="1:3" x14ac:dyDescent="0.25">
      <c r="A159" s="14">
        <v>148</v>
      </c>
      <c r="B159" s="11" t="s">
        <v>116</v>
      </c>
      <c r="C159" s="18">
        <v>1000000</v>
      </c>
    </row>
    <row r="160" spans="1:3" x14ac:dyDescent="0.25">
      <c r="A160" s="14">
        <v>19226024</v>
      </c>
      <c r="B160" s="11" t="s">
        <v>117</v>
      </c>
      <c r="C160" s="18">
        <v>1000000</v>
      </c>
    </row>
    <row r="161" spans="1:3" x14ac:dyDescent="0.25">
      <c r="A161" s="14">
        <v>178</v>
      </c>
      <c r="B161" s="11" t="s">
        <v>117</v>
      </c>
      <c r="C161" s="18">
        <v>1000000</v>
      </c>
    </row>
    <row r="162" spans="1:3" x14ac:dyDescent="0.25">
      <c r="A162" s="14">
        <v>162</v>
      </c>
      <c r="B162" s="11" t="s">
        <v>118</v>
      </c>
      <c r="C162" s="18">
        <v>1000000</v>
      </c>
    </row>
    <row r="163" spans="1:3" x14ac:dyDescent="0.25">
      <c r="A163" s="14">
        <v>7175034</v>
      </c>
      <c r="B163" s="11" t="s">
        <v>867</v>
      </c>
      <c r="C163" s="19">
        <v>1000000</v>
      </c>
    </row>
    <row r="164" spans="1:3" x14ac:dyDescent="0.25">
      <c r="A164" s="14">
        <v>80109859</v>
      </c>
      <c r="B164" s="11" t="s">
        <v>119</v>
      </c>
      <c r="C164" s="19">
        <v>1000000</v>
      </c>
    </row>
    <row r="165" spans="1:3" x14ac:dyDescent="0.25">
      <c r="A165" s="14">
        <v>80109859</v>
      </c>
      <c r="B165" s="11" t="s">
        <v>119</v>
      </c>
      <c r="C165" s="19">
        <v>1000000</v>
      </c>
    </row>
    <row r="166" spans="1:3" x14ac:dyDescent="0.25">
      <c r="A166" s="14">
        <v>80854452</v>
      </c>
      <c r="B166" s="11" t="s">
        <v>120</v>
      </c>
      <c r="C166" s="19">
        <v>1000000</v>
      </c>
    </row>
    <row r="167" spans="1:3" x14ac:dyDescent="0.25">
      <c r="A167" s="14">
        <v>1042454473</v>
      </c>
      <c r="B167" s="11" t="s">
        <v>121</v>
      </c>
      <c r="C167" s="19">
        <v>5000000</v>
      </c>
    </row>
    <row r="168" spans="1:3" x14ac:dyDescent="0.25">
      <c r="A168" s="14">
        <v>79909504</v>
      </c>
      <c r="B168" s="11" t="s">
        <v>902</v>
      </c>
      <c r="C168" s="19">
        <v>5000000</v>
      </c>
    </row>
    <row r="169" spans="1:3" x14ac:dyDescent="0.25">
      <c r="A169" s="14">
        <v>11523232</v>
      </c>
      <c r="B169" s="11" t="s">
        <v>1059</v>
      </c>
      <c r="C169" s="19">
        <v>0</v>
      </c>
    </row>
    <row r="170" spans="1:3" x14ac:dyDescent="0.25">
      <c r="A170" s="14">
        <v>1057736403</v>
      </c>
      <c r="B170" s="11" t="s">
        <v>122</v>
      </c>
      <c r="C170" s="19">
        <v>1000000</v>
      </c>
    </row>
    <row r="171" spans="1:3" x14ac:dyDescent="0.25">
      <c r="A171" s="14">
        <v>700120413</v>
      </c>
      <c r="B171" s="11" t="s">
        <v>123</v>
      </c>
      <c r="C171" s="19">
        <v>1000000</v>
      </c>
    </row>
    <row r="172" spans="1:3" x14ac:dyDescent="0.25">
      <c r="A172" s="14">
        <v>5554726</v>
      </c>
      <c r="B172" s="11" t="s">
        <v>124</v>
      </c>
      <c r="C172" s="19">
        <v>1000000</v>
      </c>
    </row>
    <row r="173" spans="1:3" x14ac:dyDescent="0.25">
      <c r="A173" s="14">
        <v>80926295</v>
      </c>
      <c r="B173" s="11" t="s">
        <v>125</v>
      </c>
      <c r="C173" s="19">
        <v>1000000</v>
      </c>
    </row>
    <row r="174" spans="1:3" x14ac:dyDescent="0.25">
      <c r="A174" s="14">
        <v>79852447</v>
      </c>
      <c r="B174" s="11" t="s">
        <v>1097</v>
      </c>
      <c r="C174" s="19">
        <v>1000000</v>
      </c>
    </row>
    <row r="175" spans="1:3" x14ac:dyDescent="0.25">
      <c r="A175" s="14">
        <v>79741482</v>
      </c>
      <c r="B175" s="11" t="s">
        <v>126</v>
      </c>
      <c r="C175" s="19">
        <v>1000000</v>
      </c>
    </row>
    <row r="176" spans="1:3" x14ac:dyDescent="0.25">
      <c r="A176" s="14">
        <v>13761918</v>
      </c>
      <c r="B176" s="11" t="s">
        <v>127</v>
      </c>
      <c r="C176" s="18">
        <v>1000000</v>
      </c>
    </row>
    <row r="177" spans="1:3" x14ac:dyDescent="0.25">
      <c r="A177" s="14">
        <v>10095995</v>
      </c>
      <c r="B177" s="11" t="s">
        <v>128</v>
      </c>
      <c r="C177" s="18">
        <v>1000000</v>
      </c>
    </row>
    <row r="178" spans="1:3" x14ac:dyDescent="0.25">
      <c r="A178" s="14">
        <v>1018433244</v>
      </c>
      <c r="B178" s="11" t="s">
        <v>129</v>
      </c>
      <c r="C178" s="19">
        <v>1000000</v>
      </c>
    </row>
    <row r="179" spans="1:3" x14ac:dyDescent="0.25">
      <c r="A179" s="14">
        <v>51708730</v>
      </c>
      <c r="B179" s="11" t="s">
        <v>130</v>
      </c>
      <c r="C179" s="19">
        <v>1000000</v>
      </c>
    </row>
    <row r="180" spans="1:3" x14ac:dyDescent="0.25">
      <c r="A180" s="14">
        <v>51964062</v>
      </c>
      <c r="B180" s="11" t="s">
        <v>131</v>
      </c>
      <c r="C180" s="18">
        <v>1000000</v>
      </c>
    </row>
    <row r="181" spans="1:3" x14ac:dyDescent="0.25">
      <c r="A181" s="14">
        <v>432</v>
      </c>
      <c r="B181" s="11" t="s">
        <v>132</v>
      </c>
      <c r="C181" s="19">
        <v>1000000</v>
      </c>
    </row>
    <row r="182" spans="1:3" x14ac:dyDescent="0.25">
      <c r="A182" s="14">
        <v>416</v>
      </c>
      <c r="B182" s="11" t="s">
        <v>133</v>
      </c>
      <c r="C182" s="19">
        <v>1000000</v>
      </c>
    </row>
    <row r="183" spans="1:3" x14ac:dyDescent="0.25">
      <c r="A183" s="14">
        <v>441</v>
      </c>
      <c r="B183" s="11" t="s">
        <v>134</v>
      </c>
      <c r="C183" s="19">
        <v>1000000</v>
      </c>
    </row>
    <row r="184" spans="1:3" x14ac:dyDescent="0.25">
      <c r="A184" s="14">
        <v>79049288</v>
      </c>
      <c r="B184" s="11" t="s">
        <v>135</v>
      </c>
      <c r="C184" s="18">
        <v>1000000</v>
      </c>
    </row>
    <row r="185" spans="1:3" x14ac:dyDescent="0.25">
      <c r="A185" s="14">
        <v>231</v>
      </c>
      <c r="B185" s="11" t="s">
        <v>136</v>
      </c>
      <c r="C185" s="19">
        <v>1000000</v>
      </c>
    </row>
    <row r="186" spans="1:3" x14ac:dyDescent="0.25">
      <c r="A186" s="14">
        <v>231</v>
      </c>
      <c r="B186" s="11" t="s">
        <v>136</v>
      </c>
      <c r="C186" s="19">
        <v>1000000</v>
      </c>
    </row>
    <row r="187" spans="1:3" x14ac:dyDescent="0.25">
      <c r="A187" s="14">
        <v>430</v>
      </c>
      <c r="B187" s="11" t="s">
        <v>137</v>
      </c>
      <c r="C187" s="19">
        <v>1000000</v>
      </c>
    </row>
    <row r="188" spans="1:3" x14ac:dyDescent="0.25">
      <c r="A188" s="14">
        <v>901434435</v>
      </c>
      <c r="B188" s="11" t="s">
        <v>787</v>
      </c>
      <c r="C188" s="19">
        <v>1000000</v>
      </c>
    </row>
    <row r="189" spans="1:3" x14ac:dyDescent="0.25">
      <c r="A189" s="14">
        <v>900322614</v>
      </c>
      <c r="B189" s="11" t="s">
        <v>138</v>
      </c>
      <c r="C189" s="18">
        <v>1000000</v>
      </c>
    </row>
    <row r="190" spans="1:3" x14ac:dyDescent="0.25">
      <c r="A190" s="14">
        <v>900249874</v>
      </c>
      <c r="B190" s="11" t="s">
        <v>139</v>
      </c>
      <c r="C190" s="18">
        <v>1000000</v>
      </c>
    </row>
    <row r="191" spans="1:3" x14ac:dyDescent="0.25">
      <c r="A191" s="14">
        <v>900677254</v>
      </c>
      <c r="B191" s="11" t="s">
        <v>140</v>
      </c>
      <c r="C191" s="18">
        <v>1000000</v>
      </c>
    </row>
    <row r="192" spans="1:3" x14ac:dyDescent="0.25">
      <c r="A192" s="14">
        <v>900677254</v>
      </c>
      <c r="B192" s="11" t="s">
        <v>140</v>
      </c>
      <c r="C192" s="18">
        <v>1000000</v>
      </c>
    </row>
    <row r="193" spans="1:3" x14ac:dyDescent="0.25">
      <c r="A193" s="14">
        <v>900935589</v>
      </c>
      <c r="B193" s="11" t="s">
        <v>141</v>
      </c>
      <c r="C193" s="18">
        <v>1000000</v>
      </c>
    </row>
    <row r="194" spans="1:3" x14ac:dyDescent="0.25">
      <c r="A194" s="14">
        <v>900798167</v>
      </c>
      <c r="B194" s="11" t="s">
        <v>142</v>
      </c>
      <c r="C194" s="18">
        <v>1000000</v>
      </c>
    </row>
    <row r="195" spans="1:3" x14ac:dyDescent="0.25">
      <c r="A195" s="14">
        <v>900883676</v>
      </c>
      <c r="B195" s="11" t="s">
        <v>143</v>
      </c>
      <c r="C195" s="18">
        <v>1000000</v>
      </c>
    </row>
    <row r="196" spans="1:3" x14ac:dyDescent="0.25">
      <c r="A196" s="14">
        <v>901341477</v>
      </c>
      <c r="B196" s="11" t="s">
        <v>144</v>
      </c>
      <c r="C196" s="18">
        <v>1000000</v>
      </c>
    </row>
    <row r="197" spans="1:3" x14ac:dyDescent="0.25">
      <c r="A197" s="14">
        <v>900715776</v>
      </c>
      <c r="B197" s="11" t="s">
        <v>145</v>
      </c>
      <c r="C197" s="19">
        <v>1000000</v>
      </c>
    </row>
    <row r="198" spans="1:3" x14ac:dyDescent="0.25">
      <c r="A198" s="14">
        <v>901815309</v>
      </c>
      <c r="B198" s="11" t="s">
        <v>794</v>
      </c>
      <c r="C198" s="19">
        <v>1000000</v>
      </c>
    </row>
    <row r="199" spans="1:3" x14ac:dyDescent="0.25">
      <c r="A199" s="14">
        <v>458</v>
      </c>
      <c r="B199" s="11" t="s">
        <v>146</v>
      </c>
      <c r="C199" s="18">
        <v>1000000</v>
      </c>
    </row>
    <row r="200" spans="1:3" x14ac:dyDescent="0.25">
      <c r="A200" s="14">
        <v>900648618</v>
      </c>
      <c r="B200" s="11" t="s">
        <v>147</v>
      </c>
      <c r="C200" s="18">
        <v>1000000</v>
      </c>
    </row>
    <row r="201" spans="1:3" x14ac:dyDescent="0.25">
      <c r="A201" s="14">
        <v>901622814</v>
      </c>
      <c r="B201" s="11" t="s">
        <v>148</v>
      </c>
      <c r="C201" s="18">
        <v>1000000</v>
      </c>
    </row>
    <row r="202" spans="1:3" x14ac:dyDescent="0.25">
      <c r="A202" s="14">
        <v>901622814</v>
      </c>
      <c r="B202" s="11" t="s">
        <v>148</v>
      </c>
      <c r="C202" s="18">
        <v>1000000</v>
      </c>
    </row>
    <row r="203" spans="1:3" x14ac:dyDescent="0.25">
      <c r="A203" s="14">
        <v>901433459</v>
      </c>
      <c r="B203" s="11" t="s">
        <v>149</v>
      </c>
      <c r="C203" s="19">
        <v>3000000</v>
      </c>
    </row>
    <row r="204" spans="1:3" x14ac:dyDescent="0.25">
      <c r="A204" s="14">
        <v>39782960</v>
      </c>
      <c r="B204" s="11" t="s">
        <v>1098</v>
      </c>
      <c r="C204" s="19">
        <v>1000000</v>
      </c>
    </row>
    <row r="205" spans="1:3" x14ac:dyDescent="0.25">
      <c r="A205" s="14">
        <v>52349364</v>
      </c>
      <c r="B205" s="11" t="s">
        <v>150</v>
      </c>
      <c r="C205" s="18">
        <v>1000000</v>
      </c>
    </row>
    <row r="206" spans="1:3" x14ac:dyDescent="0.25">
      <c r="A206" s="14">
        <v>830013819</v>
      </c>
      <c r="B206" s="11" t="s">
        <v>151</v>
      </c>
      <c r="C206" s="19">
        <v>10000000</v>
      </c>
    </row>
    <row r="207" spans="1:3" x14ac:dyDescent="0.25">
      <c r="A207" s="14">
        <v>901753589</v>
      </c>
      <c r="B207" s="11" t="s">
        <v>152</v>
      </c>
      <c r="C207" s="18">
        <v>1000000</v>
      </c>
    </row>
    <row r="208" spans="1:3" x14ac:dyDescent="0.25">
      <c r="A208" s="14">
        <v>900467169</v>
      </c>
      <c r="B208" s="11" t="s">
        <v>1099</v>
      </c>
      <c r="C208" s="19">
        <v>5000000</v>
      </c>
    </row>
    <row r="209" spans="1:3" x14ac:dyDescent="0.25">
      <c r="A209" s="14">
        <v>901578875</v>
      </c>
      <c r="B209" s="11" t="s">
        <v>153</v>
      </c>
      <c r="C209" s="19">
        <v>1000000</v>
      </c>
    </row>
    <row r="210" spans="1:3" x14ac:dyDescent="0.25">
      <c r="A210" s="14">
        <v>901578875</v>
      </c>
      <c r="B210" s="11" t="s">
        <v>153</v>
      </c>
      <c r="C210" s="19">
        <v>1000000</v>
      </c>
    </row>
    <row r="211" spans="1:3" x14ac:dyDescent="0.25">
      <c r="A211" s="14">
        <v>900202994</v>
      </c>
      <c r="B211" s="11" t="s">
        <v>992</v>
      </c>
      <c r="C211" s="19">
        <v>0</v>
      </c>
    </row>
    <row r="212" spans="1:3" x14ac:dyDescent="0.25">
      <c r="A212" s="14">
        <v>901314486</v>
      </c>
      <c r="B212" s="11" t="s">
        <v>801</v>
      </c>
      <c r="C212" s="19">
        <v>1000000</v>
      </c>
    </row>
    <row r="213" spans="1:3" x14ac:dyDescent="0.25">
      <c r="A213" s="14">
        <v>901301583</v>
      </c>
      <c r="B213" s="11" t="s">
        <v>813</v>
      </c>
      <c r="C213" s="19">
        <v>12000000</v>
      </c>
    </row>
    <row r="214" spans="1:3" x14ac:dyDescent="0.25">
      <c r="A214" s="14">
        <v>900746884</v>
      </c>
      <c r="B214" s="11" t="s">
        <v>154</v>
      </c>
      <c r="C214" s="18">
        <v>1000000</v>
      </c>
    </row>
    <row r="215" spans="1:3" x14ac:dyDescent="0.25">
      <c r="A215" s="14">
        <v>41464810</v>
      </c>
      <c r="B215" s="11" t="s">
        <v>155</v>
      </c>
      <c r="C215" s="19">
        <v>1000000</v>
      </c>
    </row>
    <row r="216" spans="1:3" x14ac:dyDescent="0.25">
      <c r="A216" s="14">
        <v>901692531</v>
      </c>
      <c r="B216" s="11" t="s">
        <v>156</v>
      </c>
      <c r="C216" s="19">
        <v>10000000</v>
      </c>
    </row>
    <row r="217" spans="1:3" x14ac:dyDescent="0.25">
      <c r="A217" s="14">
        <v>901692531</v>
      </c>
      <c r="B217" s="11" t="s">
        <v>156</v>
      </c>
      <c r="C217" s="19">
        <v>10000000</v>
      </c>
    </row>
    <row r="218" spans="1:3" x14ac:dyDescent="0.25">
      <c r="A218" s="14">
        <v>901692531</v>
      </c>
      <c r="B218" s="11" t="s">
        <v>156</v>
      </c>
      <c r="C218" s="19">
        <v>10000000</v>
      </c>
    </row>
    <row r="219" spans="1:3" x14ac:dyDescent="0.25">
      <c r="A219" s="14">
        <v>901692531</v>
      </c>
      <c r="B219" s="11" t="s">
        <v>156</v>
      </c>
      <c r="C219" s="19">
        <v>10000000</v>
      </c>
    </row>
    <row r="220" spans="1:3" x14ac:dyDescent="0.25">
      <c r="A220" s="14">
        <v>901692531</v>
      </c>
      <c r="B220" s="11" t="s">
        <v>156</v>
      </c>
      <c r="C220" s="19">
        <v>10000000</v>
      </c>
    </row>
    <row r="221" spans="1:3" x14ac:dyDescent="0.25">
      <c r="A221" s="14">
        <v>901692531</v>
      </c>
      <c r="B221" s="11" t="s">
        <v>156</v>
      </c>
      <c r="C221" s="19">
        <v>10000000</v>
      </c>
    </row>
    <row r="222" spans="1:3" x14ac:dyDescent="0.25">
      <c r="A222" s="14">
        <v>901692531</v>
      </c>
      <c r="B222" s="11" t="s">
        <v>156</v>
      </c>
      <c r="C222" s="19">
        <v>10000000</v>
      </c>
    </row>
    <row r="223" spans="1:3" x14ac:dyDescent="0.25">
      <c r="A223" s="14">
        <v>901692531</v>
      </c>
      <c r="B223" s="11" t="s">
        <v>156</v>
      </c>
      <c r="C223" s="19">
        <v>10000000</v>
      </c>
    </row>
    <row r="224" spans="1:3" x14ac:dyDescent="0.25">
      <c r="A224" s="14">
        <v>901692531</v>
      </c>
      <c r="B224" s="11" t="s">
        <v>156</v>
      </c>
      <c r="C224" s="19">
        <v>10000000</v>
      </c>
    </row>
    <row r="225" spans="1:3" x14ac:dyDescent="0.25">
      <c r="A225" s="14">
        <v>901692531</v>
      </c>
      <c r="B225" s="11" t="s">
        <v>156</v>
      </c>
      <c r="C225" s="19">
        <v>10000000</v>
      </c>
    </row>
    <row r="226" spans="1:3" x14ac:dyDescent="0.25">
      <c r="A226" s="14">
        <v>901692531</v>
      </c>
      <c r="B226" s="11" t="s">
        <v>156</v>
      </c>
      <c r="C226" s="19">
        <v>10000000</v>
      </c>
    </row>
    <row r="227" spans="1:3" x14ac:dyDescent="0.25">
      <c r="A227" s="14">
        <v>1070324937</v>
      </c>
      <c r="B227" s="11" t="s">
        <v>157</v>
      </c>
      <c r="C227" s="19">
        <v>1000000</v>
      </c>
    </row>
    <row r="228" spans="1:3" x14ac:dyDescent="0.25">
      <c r="A228" s="14">
        <v>830028714</v>
      </c>
      <c r="B228" s="11" t="s">
        <v>158</v>
      </c>
      <c r="C228" s="19">
        <v>4000000</v>
      </c>
    </row>
    <row r="229" spans="1:3" x14ac:dyDescent="0.25">
      <c r="A229" s="14">
        <v>390</v>
      </c>
      <c r="B229" s="11" t="s">
        <v>159</v>
      </c>
      <c r="C229" s="19">
        <v>1000000</v>
      </c>
    </row>
    <row r="230" spans="1:3" x14ac:dyDescent="0.25">
      <c r="A230" s="14">
        <v>901399181</v>
      </c>
      <c r="B230" s="11" t="s">
        <v>889</v>
      </c>
      <c r="C230" s="19">
        <v>2000000</v>
      </c>
    </row>
    <row r="231" spans="1:3" x14ac:dyDescent="0.25">
      <c r="A231" s="14">
        <v>901752281</v>
      </c>
      <c r="B231" s="11" t="s">
        <v>160</v>
      </c>
      <c r="C231" s="19">
        <v>2000000</v>
      </c>
    </row>
    <row r="232" spans="1:3" x14ac:dyDescent="0.25">
      <c r="A232" s="14">
        <v>900572083</v>
      </c>
      <c r="B232" s="11" t="s">
        <v>161</v>
      </c>
      <c r="C232" s="19">
        <v>1000000</v>
      </c>
    </row>
    <row r="233" spans="1:3" x14ac:dyDescent="0.25">
      <c r="A233" s="14">
        <v>900127662</v>
      </c>
      <c r="B233" s="11" t="s">
        <v>162</v>
      </c>
      <c r="C233" s="19">
        <v>30000000</v>
      </c>
    </row>
    <row r="234" spans="1:3" x14ac:dyDescent="0.25">
      <c r="A234" s="14">
        <v>1031156372</v>
      </c>
      <c r="B234" s="11" t="s">
        <v>163</v>
      </c>
      <c r="C234" s="19">
        <v>1000000</v>
      </c>
    </row>
    <row r="235" spans="1:3" x14ac:dyDescent="0.25">
      <c r="A235" s="14">
        <v>901523770</v>
      </c>
      <c r="B235" s="11" t="s">
        <v>164</v>
      </c>
      <c r="C235" s="18">
        <v>1000000</v>
      </c>
    </row>
    <row r="236" spans="1:3" x14ac:dyDescent="0.25">
      <c r="A236" s="14">
        <v>1019102766</v>
      </c>
      <c r="B236" s="11" t="s">
        <v>893</v>
      </c>
      <c r="C236" s="19">
        <v>5000000</v>
      </c>
    </row>
    <row r="237" spans="1:3" x14ac:dyDescent="0.25">
      <c r="A237" s="14">
        <v>900561159</v>
      </c>
      <c r="B237" s="11" t="s">
        <v>165</v>
      </c>
      <c r="C237" s="19">
        <v>1000000</v>
      </c>
    </row>
    <row r="238" spans="1:3" x14ac:dyDescent="0.25">
      <c r="A238" s="14">
        <v>1024575837</v>
      </c>
      <c r="B238" s="11" t="s">
        <v>166</v>
      </c>
      <c r="C238" s="19">
        <v>1000000</v>
      </c>
    </row>
    <row r="239" spans="1:3" x14ac:dyDescent="0.25">
      <c r="A239" s="14">
        <v>5697798</v>
      </c>
      <c r="B239" s="11" t="s">
        <v>167</v>
      </c>
      <c r="C239" s="19">
        <v>1000000</v>
      </c>
    </row>
    <row r="240" spans="1:3" x14ac:dyDescent="0.25">
      <c r="A240" s="14">
        <v>900504404</v>
      </c>
      <c r="B240" s="11" t="s">
        <v>979</v>
      </c>
      <c r="C240" s="19">
        <v>15000000</v>
      </c>
    </row>
    <row r="241" spans="1:3" x14ac:dyDescent="0.25">
      <c r="A241" s="14">
        <v>41365050</v>
      </c>
      <c r="B241" s="11" t="s">
        <v>168</v>
      </c>
      <c r="C241" s="18">
        <v>1000000</v>
      </c>
    </row>
    <row r="242" spans="1:3" x14ac:dyDescent="0.25">
      <c r="A242" s="14">
        <v>52783549</v>
      </c>
      <c r="B242" s="11" t="s">
        <v>169</v>
      </c>
      <c r="C242" s="19">
        <v>1000000</v>
      </c>
    </row>
    <row r="243" spans="1:3" x14ac:dyDescent="0.25">
      <c r="A243" s="14">
        <v>52779064</v>
      </c>
      <c r="B243" s="11" t="s">
        <v>170</v>
      </c>
      <c r="C243" s="19">
        <v>1000000</v>
      </c>
    </row>
    <row r="244" spans="1:3" x14ac:dyDescent="0.25">
      <c r="A244" s="14">
        <v>52341425</v>
      </c>
      <c r="B244" s="11" t="s">
        <v>171</v>
      </c>
      <c r="C244" s="18">
        <v>1000000</v>
      </c>
    </row>
    <row r="245" spans="1:3" x14ac:dyDescent="0.25">
      <c r="A245" s="14">
        <v>1032360504</v>
      </c>
      <c r="B245" s="11" t="s">
        <v>172</v>
      </c>
      <c r="C245" s="19">
        <v>1000000</v>
      </c>
    </row>
    <row r="246" spans="1:3" x14ac:dyDescent="0.25">
      <c r="A246" s="14">
        <v>52707469</v>
      </c>
      <c r="B246" s="11" t="s">
        <v>173</v>
      </c>
      <c r="C246" s="19">
        <v>1000000</v>
      </c>
    </row>
    <row r="247" spans="1:3" x14ac:dyDescent="0.25">
      <c r="A247" s="14">
        <v>100</v>
      </c>
      <c r="B247" s="11" t="s">
        <v>174</v>
      </c>
      <c r="C247" s="18">
        <v>1000000</v>
      </c>
    </row>
    <row r="248" spans="1:3" x14ac:dyDescent="0.25">
      <c r="A248" s="14">
        <v>120</v>
      </c>
      <c r="B248" s="11" t="s">
        <v>175</v>
      </c>
      <c r="C248" s="18">
        <v>1000000</v>
      </c>
    </row>
    <row r="249" spans="1:3" x14ac:dyDescent="0.25">
      <c r="A249" s="14">
        <v>105</v>
      </c>
      <c r="B249" s="11" t="s">
        <v>176</v>
      </c>
      <c r="C249" s="19">
        <v>1000000</v>
      </c>
    </row>
    <row r="250" spans="1:3" x14ac:dyDescent="0.25">
      <c r="A250" s="14">
        <v>800160827</v>
      </c>
      <c r="B250" s="11" t="s">
        <v>177</v>
      </c>
      <c r="C250" s="19">
        <v>3000000</v>
      </c>
    </row>
    <row r="251" spans="1:3" x14ac:dyDescent="0.25">
      <c r="A251" s="14">
        <v>900481214</v>
      </c>
      <c r="B251" s="11" t="s">
        <v>178</v>
      </c>
      <c r="C251" s="19">
        <v>1000000</v>
      </c>
    </row>
    <row r="252" spans="1:3" x14ac:dyDescent="0.25">
      <c r="A252" s="14">
        <v>900481214</v>
      </c>
      <c r="B252" s="11" t="s">
        <v>178</v>
      </c>
      <c r="C252" s="19">
        <v>1000000</v>
      </c>
    </row>
    <row r="253" spans="1:3" x14ac:dyDescent="0.25">
      <c r="A253" s="14">
        <v>901730363</v>
      </c>
      <c r="B253" s="11" t="s">
        <v>994</v>
      </c>
      <c r="C253" s="19">
        <v>10000000</v>
      </c>
    </row>
    <row r="254" spans="1:3" x14ac:dyDescent="0.25">
      <c r="A254" s="14">
        <v>901047072</v>
      </c>
      <c r="B254" s="11" t="s">
        <v>179</v>
      </c>
      <c r="C254" s="19">
        <v>20000000</v>
      </c>
    </row>
    <row r="255" spans="1:3" x14ac:dyDescent="0.25">
      <c r="A255" s="14">
        <v>901047072</v>
      </c>
      <c r="B255" s="11" t="s">
        <v>179</v>
      </c>
      <c r="C255" s="19">
        <v>20000000</v>
      </c>
    </row>
    <row r="256" spans="1:3" x14ac:dyDescent="0.25">
      <c r="A256" s="14">
        <v>900427201</v>
      </c>
      <c r="B256" s="11" t="s">
        <v>180</v>
      </c>
      <c r="C256" s="18">
        <v>1000000</v>
      </c>
    </row>
    <row r="257" spans="1:3" x14ac:dyDescent="0.25">
      <c r="A257" s="14">
        <v>901347798</v>
      </c>
      <c r="B257" s="11" t="s">
        <v>808</v>
      </c>
      <c r="C257" s="19">
        <v>20000000</v>
      </c>
    </row>
    <row r="258" spans="1:3" x14ac:dyDescent="0.25">
      <c r="A258" s="14">
        <v>900494861</v>
      </c>
      <c r="B258" s="11" t="s">
        <v>1100</v>
      </c>
      <c r="C258" s="19">
        <v>0</v>
      </c>
    </row>
    <row r="259" spans="1:3" x14ac:dyDescent="0.25">
      <c r="A259" s="14">
        <v>901170719</v>
      </c>
      <c r="B259" s="11" t="s">
        <v>181</v>
      </c>
      <c r="C259" s="18">
        <v>1000000</v>
      </c>
    </row>
    <row r="260" spans="1:3" x14ac:dyDescent="0.25">
      <c r="A260" s="14">
        <v>800182042</v>
      </c>
      <c r="B260" s="11" t="s">
        <v>1101</v>
      </c>
      <c r="C260" s="18">
        <v>0</v>
      </c>
    </row>
    <row r="261" spans="1:3" x14ac:dyDescent="0.25">
      <c r="A261" s="14">
        <v>901486508</v>
      </c>
      <c r="B261" s="11" t="s">
        <v>182</v>
      </c>
      <c r="C261" s="19">
        <v>1000000</v>
      </c>
    </row>
    <row r="262" spans="1:3" x14ac:dyDescent="0.25">
      <c r="A262" s="14">
        <v>900450117</v>
      </c>
      <c r="B262" s="11" t="s">
        <v>183</v>
      </c>
      <c r="C262" s="19">
        <v>1000000</v>
      </c>
    </row>
    <row r="263" spans="1:3" x14ac:dyDescent="0.25">
      <c r="A263" s="14">
        <v>800127343</v>
      </c>
      <c r="B263" s="11" t="s">
        <v>184</v>
      </c>
      <c r="C263" s="19">
        <v>1000000</v>
      </c>
    </row>
    <row r="264" spans="1:3" x14ac:dyDescent="0.25">
      <c r="A264" s="14">
        <v>900276879</v>
      </c>
      <c r="B264" s="11" t="s">
        <v>185</v>
      </c>
      <c r="C264" s="19">
        <v>1000000</v>
      </c>
    </row>
    <row r="265" spans="1:3" x14ac:dyDescent="0.25">
      <c r="A265" s="14">
        <v>900502901</v>
      </c>
      <c r="B265" s="11" t="s">
        <v>1102</v>
      </c>
      <c r="C265" s="19">
        <v>1000000</v>
      </c>
    </row>
    <row r="266" spans="1:3" x14ac:dyDescent="0.25">
      <c r="A266" s="14">
        <v>901145340</v>
      </c>
      <c r="B266" s="11" t="s">
        <v>827</v>
      </c>
      <c r="C266" s="19">
        <v>20000000</v>
      </c>
    </row>
    <row r="267" spans="1:3" x14ac:dyDescent="0.25">
      <c r="A267" s="14">
        <v>900612583</v>
      </c>
      <c r="B267" s="11" t="s">
        <v>186</v>
      </c>
      <c r="C267" s="19">
        <v>1000000</v>
      </c>
    </row>
    <row r="268" spans="1:3" x14ac:dyDescent="0.25">
      <c r="A268" s="14">
        <v>830508167</v>
      </c>
      <c r="B268" s="11" t="s">
        <v>187</v>
      </c>
      <c r="C268" s="19">
        <v>20000000</v>
      </c>
    </row>
    <row r="269" spans="1:3" x14ac:dyDescent="0.25">
      <c r="A269" s="14">
        <v>830065004</v>
      </c>
      <c r="B269" s="11" t="s">
        <v>188</v>
      </c>
      <c r="C269" s="19">
        <v>1000000</v>
      </c>
    </row>
    <row r="270" spans="1:3" x14ac:dyDescent="0.25">
      <c r="A270" s="14">
        <v>901676249</v>
      </c>
      <c r="B270" s="11" t="s">
        <v>1103</v>
      </c>
      <c r="C270" s="18">
        <v>1000000</v>
      </c>
    </row>
    <row r="271" spans="1:3" x14ac:dyDescent="0.25">
      <c r="A271" s="14">
        <v>901312259</v>
      </c>
      <c r="B271" s="11" t="s">
        <v>189</v>
      </c>
      <c r="C271" s="19">
        <v>1000000</v>
      </c>
    </row>
    <row r="272" spans="1:3" x14ac:dyDescent="0.25">
      <c r="A272" s="14">
        <v>901314598</v>
      </c>
      <c r="B272" s="11" t="s">
        <v>1104</v>
      </c>
      <c r="C272" s="18">
        <v>1000000</v>
      </c>
    </row>
    <row r="273" spans="1:3" x14ac:dyDescent="0.25">
      <c r="A273" s="14">
        <v>901639382</v>
      </c>
      <c r="B273" s="11" t="s">
        <v>996</v>
      </c>
      <c r="C273" s="19">
        <v>5000000</v>
      </c>
    </row>
    <row r="274" spans="1:3" x14ac:dyDescent="0.25">
      <c r="A274" s="14">
        <v>900656471</v>
      </c>
      <c r="B274" s="11" t="s">
        <v>190</v>
      </c>
      <c r="C274" s="18">
        <v>1000000</v>
      </c>
    </row>
    <row r="275" spans="1:3" x14ac:dyDescent="0.25">
      <c r="A275" s="14">
        <v>222222222222</v>
      </c>
      <c r="B275" s="11" t="s">
        <v>191</v>
      </c>
      <c r="C275" s="19">
        <v>4000000</v>
      </c>
    </row>
    <row r="276" spans="1:3" x14ac:dyDescent="0.25">
      <c r="A276" s="14">
        <v>222222222222</v>
      </c>
      <c r="B276" s="11" t="s">
        <v>191</v>
      </c>
      <c r="C276" s="19">
        <v>4000000</v>
      </c>
    </row>
    <row r="277" spans="1:3" x14ac:dyDescent="0.25">
      <c r="A277" s="14">
        <v>222222222222</v>
      </c>
      <c r="B277" s="11" t="s">
        <v>191</v>
      </c>
      <c r="C277" s="19">
        <v>4000000</v>
      </c>
    </row>
    <row r="278" spans="1:3" x14ac:dyDescent="0.25">
      <c r="A278" s="14">
        <v>222222222222</v>
      </c>
      <c r="B278" s="11" t="s">
        <v>191</v>
      </c>
      <c r="C278" s="19">
        <v>4000000</v>
      </c>
    </row>
    <row r="279" spans="1:3" x14ac:dyDescent="0.25">
      <c r="A279" s="14">
        <v>222222222222</v>
      </c>
      <c r="B279" s="11" t="s">
        <v>191</v>
      </c>
      <c r="C279" s="19">
        <v>4000000</v>
      </c>
    </row>
    <row r="280" spans="1:3" x14ac:dyDescent="0.25">
      <c r="A280" s="14">
        <v>222222222222</v>
      </c>
      <c r="B280" s="11" t="s">
        <v>191</v>
      </c>
      <c r="C280" s="19">
        <v>4000000</v>
      </c>
    </row>
    <row r="281" spans="1:3" x14ac:dyDescent="0.25">
      <c r="A281" s="14">
        <v>222222222222</v>
      </c>
      <c r="B281" s="11" t="s">
        <v>191</v>
      </c>
      <c r="C281" s="19">
        <v>4000000</v>
      </c>
    </row>
    <row r="282" spans="1:3" x14ac:dyDescent="0.25">
      <c r="A282" s="14">
        <v>222222222222</v>
      </c>
      <c r="B282" s="11" t="s">
        <v>191</v>
      </c>
      <c r="C282" s="19">
        <v>4000000</v>
      </c>
    </row>
    <row r="283" spans="1:3" x14ac:dyDescent="0.25">
      <c r="A283" s="14">
        <v>222222222222</v>
      </c>
      <c r="B283" s="11" t="s">
        <v>191</v>
      </c>
      <c r="C283" s="19">
        <v>4000000</v>
      </c>
    </row>
    <row r="284" spans="1:3" x14ac:dyDescent="0.25">
      <c r="A284" s="14">
        <v>222222222222</v>
      </c>
      <c r="B284" s="11" t="s">
        <v>191</v>
      </c>
      <c r="C284" s="19">
        <v>4000000</v>
      </c>
    </row>
    <row r="285" spans="1:3" x14ac:dyDescent="0.25">
      <c r="A285" s="14">
        <v>222222222222</v>
      </c>
      <c r="B285" s="11" t="s">
        <v>191</v>
      </c>
      <c r="C285" s="19">
        <v>4000000</v>
      </c>
    </row>
    <row r="286" spans="1:3" x14ac:dyDescent="0.25">
      <c r="A286" s="14">
        <v>222222222222</v>
      </c>
      <c r="B286" s="11" t="s">
        <v>191</v>
      </c>
      <c r="C286" s="19">
        <v>4000000</v>
      </c>
    </row>
    <row r="287" spans="1:3" x14ac:dyDescent="0.25">
      <c r="A287" s="14">
        <v>222222222222</v>
      </c>
      <c r="B287" s="11" t="s">
        <v>191</v>
      </c>
      <c r="C287" s="19">
        <v>4000000</v>
      </c>
    </row>
    <row r="288" spans="1:3" x14ac:dyDescent="0.25">
      <c r="A288" s="14">
        <v>222222222222</v>
      </c>
      <c r="B288" s="11" t="s">
        <v>191</v>
      </c>
      <c r="C288" s="19">
        <v>4000000</v>
      </c>
    </row>
    <row r="289" spans="1:3" x14ac:dyDescent="0.25">
      <c r="A289" s="14">
        <v>222222222222</v>
      </c>
      <c r="B289" s="11" t="s">
        <v>191</v>
      </c>
      <c r="C289" s="19">
        <v>4000000</v>
      </c>
    </row>
    <row r="290" spans="1:3" x14ac:dyDescent="0.25">
      <c r="A290" s="14">
        <v>222222222222</v>
      </c>
      <c r="B290" s="11" t="s">
        <v>191</v>
      </c>
      <c r="C290" s="19">
        <v>4000000</v>
      </c>
    </row>
    <row r="291" spans="1:3" x14ac:dyDescent="0.25">
      <c r="A291" s="14">
        <v>222222222222</v>
      </c>
      <c r="B291" s="11" t="s">
        <v>191</v>
      </c>
      <c r="C291" s="19">
        <v>4000000</v>
      </c>
    </row>
    <row r="292" spans="1:3" x14ac:dyDescent="0.25">
      <c r="A292" s="14">
        <v>222222222222</v>
      </c>
      <c r="B292" s="11" t="s">
        <v>191</v>
      </c>
      <c r="C292" s="19">
        <v>4000000</v>
      </c>
    </row>
    <row r="293" spans="1:3" x14ac:dyDescent="0.25">
      <c r="A293" s="14">
        <v>222222222222</v>
      </c>
      <c r="B293" s="11" t="s">
        <v>191</v>
      </c>
      <c r="C293" s="19">
        <v>4000000</v>
      </c>
    </row>
    <row r="294" spans="1:3" x14ac:dyDescent="0.25">
      <c r="A294" s="14">
        <v>222222222222</v>
      </c>
      <c r="B294" s="11" t="s">
        <v>191</v>
      </c>
      <c r="C294" s="19">
        <v>4000000</v>
      </c>
    </row>
    <row r="295" spans="1:3" x14ac:dyDescent="0.25">
      <c r="A295" s="14">
        <v>222222222222</v>
      </c>
      <c r="B295" s="11" t="s">
        <v>191</v>
      </c>
      <c r="C295" s="19">
        <v>4000000</v>
      </c>
    </row>
    <row r="296" spans="1:3" x14ac:dyDescent="0.25">
      <c r="A296" s="14">
        <v>222222222222</v>
      </c>
      <c r="B296" s="11" t="s">
        <v>191</v>
      </c>
      <c r="C296" s="19">
        <v>4000000</v>
      </c>
    </row>
    <row r="297" spans="1:3" x14ac:dyDescent="0.25">
      <c r="A297" s="14">
        <v>222222222222</v>
      </c>
      <c r="B297" s="11" t="s">
        <v>191</v>
      </c>
      <c r="C297" s="19">
        <v>4000000</v>
      </c>
    </row>
    <row r="298" spans="1:3" x14ac:dyDescent="0.25">
      <c r="A298" s="14">
        <v>222222222222</v>
      </c>
      <c r="B298" s="11" t="s">
        <v>191</v>
      </c>
      <c r="C298" s="19">
        <v>4000000</v>
      </c>
    </row>
    <row r="299" spans="1:3" x14ac:dyDescent="0.25">
      <c r="A299" s="14">
        <v>222222222222</v>
      </c>
      <c r="B299" s="11" t="s">
        <v>191</v>
      </c>
      <c r="C299" s="19">
        <v>4000000</v>
      </c>
    </row>
    <row r="300" spans="1:3" x14ac:dyDescent="0.25">
      <c r="A300" s="14">
        <v>222222222222</v>
      </c>
      <c r="B300" s="11" t="s">
        <v>191</v>
      </c>
      <c r="C300" s="19">
        <v>4000000</v>
      </c>
    </row>
    <row r="301" spans="1:3" x14ac:dyDescent="0.25">
      <c r="A301" s="14">
        <v>222222222222</v>
      </c>
      <c r="B301" s="11" t="s">
        <v>191</v>
      </c>
      <c r="C301" s="19">
        <v>4000000</v>
      </c>
    </row>
    <row r="302" spans="1:3" x14ac:dyDescent="0.25">
      <c r="A302" s="14">
        <v>222222222222</v>
      </c>
      <c r="B302" s="11" t="s">
        <v>191</v>
      </c>
      <c r="C302" s="19">
        <v>4000000</v>
      </c>
    </row>
    <row r="303" spans="1:3" x14ac:dyDescent="0.25">
      <c r="A303" s="14">
        <v>222222222222</v>
      </c>
      <c r="B303" s="11" t="s">
        <v>191</v>
      </c>
      <c r="C303" s="19">
        <v>4000000</v>
      </c>
    </row>
    <row r="304" spans="1:3" x14ac:dyDescent="0.25">
      <c r="A304" s="14">
        <v>222222222222</v>
      </c>
      <c r="B304" s="11" t="s">
        <v>191</v>
      </c>
      <c r="C304" s="19">
        <v>4000000</v>
      </c>
    </row>
    <row r="305" spans="1:3" x14ac:dyDescent="0.25">
      <c r="A305" s="14">
        <v>222222222222</v>
      </c>
      <c r="B305" s="11" t="s">
        <v>191</v>
      </c>
      <c r="C305" s="19">
        <v>4000000</v>
      </c>
    </row>
    <row r="306" spans="1:3" x14ac:dyDescent="0.25">
      <c r="A306" s="14">
        <v>222222222222</v>
      </c>
      <c r="B306" s="11" t="s">
        <v>191</v>
      </c>
      <c r="C306" s="19">
        <v>4000000</v>
      </c>
    </row>
    <row r="307" spans="1:3" x14ac:dyDescent="0.25">
      <c r="A307" s="14">
        <v>222222222222</v>
      </c>
      <c r="B307" s="11" t="s">
        <v>191</v>
      </c>
      <c r="C307" s="19">
        <v>4000000</v>
      </c>
    </row>
    <row r="308" spans="1:3" x14ac:dyDescent="0.25">
      <c r="A308" s="14">
        <v>222222222222</v>
      </c>
      <c r="B308" s="11" t="s">
        <v>191</v>
      </c>
      <c r="C308" s="19">
        <v>4000000</v>
      </c>
    </row>
    <row r="309" spans="1:3" x14ac:dyDescent="0.25">
      <c r="A309" s="14">
        <v>222222222222</v>
      </c>
      <c r="B309" s="11" t="s">
        <v>191</v>
      </c>
      <c r="C309" s="19">
        <v>4000000</v>
      </c>
    </row>
    <row r="310" spans="1:3" x14ac:dyDescent="0.25">
      <c r="A310" s="14">
        <v>222222222222</v>
      </c>
      <c r="B310" s="11" t="s">
        <v>191</v>
      </c>
      <c r="C310" s="19">
        <v>4000000</v>
      </c>
    </row>
    <row r="311" spans="1:3" x14ac:dyDescent="0.25">
      <c r="A311" s="14">
        <v>222222222222</v>
      </c>
      <c r="B311" s="11" t="s">
        <v>191</v>
      </c>
      <c r="C311" s="19">
        <v>4000000</v>
      </c>
    </row>
    <row r="312" spans="1:3" x14ac:dyDescent="0.25">
      <c r="A312" s="14">
        <v>222222222222</v>
      </c>
      <c r="B312" s="11" t="s">
        <v>191</v>
      </c>
      <c r="C312" s="19">
        <v>4000000</v>
      </c>
    </row>
    <row r="313" spans="1:3" x14ac:dyDescent="0.25">
      <c r="A313" s="14">
        <v>222222222222</v>
      </c>
      <c r="B313" s="11" t="s">
        <v>191</v>
      </c>
      <c r="C313" s="19">
        <v>4000000</v>
      </c>
    </row>
    <row r="314" spans="1:3" x14ac:dyDescent="0.25">
      <c r="A314" s="14">
        <v>222222222222</v>
      </c>
      <c r="B314" s="11" t="s">
        <v>191</v>
      </c>
      <c r="C314" s="19">
        <v>4000000</v>
      </c>
    </row>
    <row r="315" spans="1:3" x14ac:dyDescent="0.25">
      <c r="A315" s="14">
        <v>222222222222</v>
      </c>
      <c r="B315" s="11" t="s">
        <v>191</v>
      </c>
      <c r="C315" s="19">
        <v>4000000</v>
      </c>
    </row>
    <row r="316" spans="1:3" x14ac:dyDescent="0.25">
      <c r="A316" s="14">
        <v>222222222222</v>
      </c>
      <c r="B316" s="11" t="s">
        <v>191</v>
      </c>
      <c r="C316" s="19">
        <v>4000000</v>
      </c>
    </row>
    <row r="317" spans="1:3" x14ac:dyDescent="0.25">
      <c r="A317" s="14">
        <v>222222222222</v>
      </c>
      <c r="B317" s="11" t="s">
        <v>191</v>
      </c>
      <c r="C317" s="19">
        <v>4000000</v>
      </c>
    </row>
    <row r="318" spans="1:3" x14ac:dyDescent="0.25">
      <c r="A318" s="14">
        <v>222222222222</v>
      </c>
      <c r="B318" s="11" t="s">
        <v>191</v>
      </c>
      <c r="C318" s="19">
        <v>4000000</v>
      </c>
    </row>
    <row r="319" spans="1:3" x14ac:dyDescent="0.25">
      <c r="A319" s="14">
        <v>222222222222</v>
      </c>
      <c r="B319" s="11" t="s">
        <v>191</v>
      </c>
      <c r="C319" s="19">
        <v>4000000</v>
      </c>
    </row>
    <row r="320" spans="1:3" x14ac:dyDescent="0.25">
      <c r="A320" s="14">
        <v>222222222222</v>
      </c>
      <c r="B320" s="11" t="s">
        <v>191</v>
      </c>
      <c r="C320" s="19">
        <v>4000000</v>
      </c>
    </row>
    <row r="321" spans="1:3" x14ac:dyDescent="0.25">
      <c r="A321" s="14">
        <v>222222222222</v>
      </c>
      <c r="B321" s="11" t="s">
        <v>191</v>
      </c>
      <c r="C321" s="19">
        <v>4000000</v>
      </c>
    </row>
    <row r="322" spans="1:3" x14ac:dyDescent="0.25">
      <c r="A322" s="14">
        <v>222222222222</v>
      </c>
      <c r="B322" s="11" t="s">
        <v>191</v>
      </c>
      <c r="C322" s="19">
        <v>4000000</v>
      </c>
    </row>
    <row r="323" spans="1:3" x14ac:dyDescent="0.25">
      <c r="A323" s="14">
        <v>222222222222</v>
      </c>
      <c r="B323" s="11" t="s">
        <v>191</v>
      </c>
      <c r="C323" s="19">
        <v>4000000</v>
      </c>
    </row>
    <row r="324" spans="1:3" x14ac:dyDescent="0.25">
      <c r="A324" s="14">
        <v>222222222222</v>
      </c>
      <c r="B324" s="11" t="s">
        <v>191</v>
      </c>
      <c r="C324" s="19">
        <v>4000000</v>
      </c>
    </row>
    <row r="325" spans="1:3" x14ac:dyDescent="0.25">
      <c r="A325" s="14">
        <v>222222222222</v>
      </c>
      <c r="B325" s="11" t="s">
        <v>191</v>
      </c>
      <c r="C325" s="19">
        <v>4000000</v>
      </c>
    </row>
    <row r="326" spans="1:3" x14ac:dyDescent="0.25">
      <c r="A326" s="14">
        <v>222222222222</v>
      </c>
      <c r="B326" s="11" t="s">
        <v>191</v>
      </c>
      <c r="C326" s="19">
        <v>4000000</v>
      </c>
    </row>
    <row r="327" spans="1:3" x14ac:dyDescent="0.25">
      <c r="A327" s="14">
        <v>222222222222</v>
      </c>
      <c r="B327" s="11" t="s">
        <v>191</v>
      </c>
      <c r="C327" s="19">
        <v>4000000</v>
      </c>
    </row>
    <row r="328" spans="1:3" x14ac:dyDescent="0.25">
      <c r="A328" s="14">
        <v>222222222222</v>
      </c>
      <c r="B328" s="11" t="s">
        <v>191</v>
      </c>
      <c r="C328" s="19">
        <v>4000000</v>
      </c>
    </row>
    <row r="329" spans="1:3" x14ac:dyDescent="0.25">
      <c r="A329" s="14">
        <v>222222222222</v>
      </c>
      <c r="B329" s="11" t="s">
        <v>191</v>
      </c>
      <c r="C329" s="19">
        <v>4000000</v>
      </c>
    </row>
    <row r="330" spans="1:3" x14ac:dyDescent="0.25">
      <c r="A330" s="14">
        <v>222222222222</v>
      </c>
      <c r="B330" s="11" t="s">
        <v>191</v>
      </c>
      <c r="C330" s="19">
        <v>4000000</v>
      </c>
    </row>
    <row r="331" spans="1:3" x14ac:dyDescent="0.25">
      <c r="A331" s="14">
        <v>222222222222</v>
      </c>
      <c r="B331" s="11" t="s">
        <v>191</v>
      </c>
      <c r="C331" s="19">
        <v>4000000</v>
      </c>
    </row>
    <row r="332" spans="1:3" x14ac:dyDescent="0.25">
      <c r="A332" s="14">
        <v>222222222222</v>
      </c>
      <c r="B332" s="11" t="s">
        <v>191</v>
      </c>
      <c r="C332" s="19">
        <v>4000000</v>
      </c>
    </row>
    <row r="333" spans="1:3" x14ac:dyDescent="0.25">
      <c r="A333" s="14">
        <v>222222222222</v>
      </c>
      <c r="B333" s="11" t="s">
        <v>191</v>
      </c>
      <c r="C333" s="19">
        <v>4000000</v>
      </c>
    </row>
    <row r="334" spans="1:3" x14ac:dyDescent="0.25">
      <c r="A334" s="14">
        <v>222222222222</v>
      </c>
      <c r="B334" s="11" t="s">
        <v>191</v>
      </c>
      <c r="C334" s="19">
        <v>4000000</v>
      </c>
    </row>
    <row r="335" spans="1:3" x14ac:dyDescent="0.25">
      <c r="A335" s="14">
        <v>222222222222</v>
      </c>
      <c r="B335" s="11" t="s">
        <v>191</v>
      </c>
      <c r="C335" s="19">
        <v>4000000</v>
      </c>
    </row>
    <row r="336" spans="1:3" x14ac:dyDescent="0.25">
      <c r="A336" s="14">
        <v>222222222222</v>
      </c>
      <c r="B336" s="11" t="s">
        <v>191</v>
      </c>
      <c r="C336" s="19">
        <v>4000000</v>
      </c>
    </row>
    <row r="337" spans="1:3" x14ac:dyDescent="0.25">
      <c r="A337" s="14">
        <v>222222222222</v>
      </c>
      <c r="B337" s="11" t="s">
        <v>191</v>
      </c>
      <c r="C337" s="19">
        <v>4000000</v>
      </c>
    </row>
    <row r="338" spans="1:3" x14ac:dyDescent="0.25">
      <c r="A338" s="14">
        <v>222222222222</v>
      </c>
      <c r="B338" s="11" t="s">
        <v>191</v>
      </c>
      <c r="C338" s="19">
        <v>4000000</v>
      </c>
    </row>
    <row r="339" spans="1:3" x14ac:dyDescent="0.25">
      <c r="A339" s="14">
        <v>222222222222</v>
      </c>
      <c r="B339" s="11" t="s">
        <v>191</v>
      </c>
      <c r="C339" s="19">
        <v>4000000</v>
      </c>
    </row>
    <row r="340" spans="1:3" x14ac:dyDescent="0.25">
      <c r="A340" s="14">
        <v>222222222222</v>
      </c>
      <c r="B340" s="11" t="s">
        <v>191</v>
      </c>
      <c r="C340" s="19">
        <v>4000000</v>
      </c>
    </row>
    <row r="341" spans="1:3" x14ac:dyDescent="0.25">
      <c r="A341" s="14">
        <v>222222222222</v>
      </c>
      <c r="B341" s="11" t="s">
        <v>191</v>
      </c>
      <c r="C341" s="19">
        <v>4000000</v>
      </c>
    </row>
    <row r="342" spans="1:3" x14ac:dyDescent="0.25">
      <c r="A342" s="14">
        <v>222222222222</v>
      </c>
      <c r="B342" s="11" t="s">
        <v>191</v>
      </c>
      <c r="C342" s="19">
        <v>4000000</v>
      </c>
    </row>
    <row r="343" spans="1:3" x14ac:dyDescent="0.25">
      <c r="A343" s="14">
        <v>900142529</v>
      </c>
      <c r="B343" s="11" t="s">
        <v>192</v>
      </c>
      <c r="C343" s="18">
        <v>1000000</v>
      </c>
    </row>
    <row r="344" spans="1:3" x14ac:dyDescent="0.25">
      <c r="A344" s="14">
        <v>900592281</v>
      </c>
      <c r="B344" s="11" t="s">
        <v>1105</v>
      </c>
      <c r="C344" s="18">
        <v>1000000</v>
      </c>
    </row>
    <row r="345" spans="1:3" x14ac:dyDescent="0.25">
      <c r="A345" s="14">
        <v>901237232</v>
      </c>
      <c r="B345" s="11" t="s">
        <v>1106</v>
      </c>
      <c r="C345" s="19">
        <v>0</v>
      </c>
    </row>
    <row r="346" spans="1:3" x14ac:dyDescent="0.25">
      <c r="A346" s="14">
        <v>860010946</v>
      </c>
      <c r="B346" s="11" t="s">
        <v>193</v>
      </c>
      <c r="C346" s="19">
        <v>1000000</v>
      </c>
    </row>
    <row r="347" spans="1:3" x14ac:dyDescent="0.25">
      <c r="A347" s="14">
        <v>900446306</v>
      </c>
      <c r="B347" s="11" t="s">
        <v>194</v>
      </c>
      <c r="C347" s="18">
        <v>1000000</v>
      </c>
    </row>
    <row r="348" spans="1:3" x14ac:dyDescent="0.25">
      <c r="A348" s="14">
        <v>160</v>
      </c>
      <c r="B348" s="11" t="s">
        <v>1107</v>
      </c>
      <c r="C348" s="19">
        <v>1000000</v>
      </c>
    </row>
    <row r="349" spans="1:3" x14ac:dyDescent="0.25">
      <c r="A349" s="14">
        <v>901522731</v>
      </c>
      <c r="B349" s="11" t="s">
        <v>195</v>
      </c>
      <c r="C349" s="19">
        <v>1000000</v>
      </c>
    </row>
    <row r="350" spans="1:3" x14ac:dyDescent="0.25">
      <c r="A350" s="14">
        <v>1023937955</v>
      </c>
      <c r="B350" s="11" t="s">
        <v>196</v>
      </c>
      <c r="C350" s="19">
        <v>1000000</v>
      </c>
    </row>
    <row r="351" spans="1:3" x14ac:dyDescent="0.25">
      <c r="A351" s="14">
        <v>1070964835</v>
      </c>
      <c r="B351" s="11" t="s">
        <v>197</v>
      </c>
      <c r="C351" s="19">
        <v>1000000</v>
      </c>
    </row>
    <row r="352" spans="1:3" x14ac:dyDescent="0.25">
      <c r="A352" s="14">
        <v>1070964835</v>
      </c>
      <c r="B352" s="11" t="s">
        <v>197</v>
      </c>
      <c r="C352" s="19">
        <v>1000000</v>
      </c>
    </row>
    <row r="353" spans="1:3" x14ac:dyDescent="0.25">
      <c r="A353" s="14">
        <v>1016089360</v>
      </c>
      <c r="B353" s="11" t="s">
        <v>894</v>
      </c>
      <c r="C353" s="19">
        <v>4000000</v>
      </c>
    </row>
    <row r="354" spans="1:3" x14ac:dyDescent="0.25">
      <c r="A354" s="14">
        <v>79901685</v>
      </c>
      <c r="B354" s="11" t="s">
        <v>198</v>
      </c>
      <c r="C354" s="19">
        <v>1000000</v>
      </c>
    </row>
    <row r="355" spans="1:3" x14ac:dyDescent="0.25">
      <c r="A355" s="14">
        <v>1005294207</v>
      </c>
      <c r="B355" s="11" t="s">
        <v>199</v>
      </c>
      <c r="C355" s="18">
        <v>6000000</v>
      </c>
    </row>
    <row r="356" spans="1:3" x14ac:dyDescent="0.25">
      <c r="A356" s="14">
        <v>1019076093</v>
      </c>
      <c r="B356" s="11" t="s">
        <v>200</v>
      </c>
      <c r="C356" s="19">
        <v>1000000</v>
      </c>
    </row>
    <row r="357" spans="1:3" x14ac:dyDescent="0.25">
      <c r="A357" s="14">
        <v>1006775848</v>
      </c>
      <c r="B357" s="11" t="s">
        <v>201</v>
      </c>
      <c r="C357" s="18">
        <v>1000000</v>
      </c>
    </row>
    <row r="358" spans="1:3" x14ac:dyDescent="0.25">
      <c r="A358" s="14">
        <v>1026590385</v>
      </c>
      <c r="B358" s="11" t="s">
        <v>203</v>
      </c>
      <c r="C358" s="19">
        <v>5000000</v>
      </c>
    </row>
    <row r="359" spans="1:3" x14ac:dyDescent="0.25">
      <c r="A359" s="14">
        <v>1030632647</v>
      </c>
      <c r="B359" s="11" t="s">
        <v>1108</v>
      </c>
      <c r="C359" s="18">
        <v>0</v>
      </c>
    </row>
    <row r="360" spans="1:3" x14ac:dyDescent="0.25">
      <c r="A360" s="14">
        <v>901171639</v>
      </c>
      <c r="B360" s="11" t="s">
        <v>204</v>
      </c>
      <c r="C360" s="19">
        <v>1000000</v>
      </c>
    </row>
    <row r="361" spans="1:3" x14ac:dyDescent="0.25">
      <c r="A361" s="14">
        <v>900715396</v>
      </c>
      <c r="B361" s="11" t="s">
        <v>205</v>
      </c>
      <c r="C361" s="18">
        <v>1000000</v>
      </c>
    </row>
    <row r="362" spans="1:3" x14ac:dyDescent="0.25">
      <c r="A362" s="14">
        <v>900715396</v>
      </c>
      <c r="B362" s="11" t="s">
        <v>205</v>
      </c>
      <c r="C362" s="18">
        <v>1000000</v>
      </c>
    </row>
    <row r="363" spans="1:3" x14ac:dyDescent="0.25">
      <c r="A363" s="14">
        <v>900715396</v>
      </c>
      <c r="B363" s="11" t="s">
        <v>205</v>
      </c>
      <c r="C363" s="18">
        <v>1000000</v>
      </c>
    </row>
    <row r="364" spans="1:3" x14ac:dyDescent="0.25">
      <c r="A364" s="14">
        <v>900715396</v>
      </c>
      <c r="B364" s="11" t="s">
        <v>205</v>
      </c>
      <c r="C364" s="18">
        <v>1000000</v>
      </c>
    </row>
    <row r="365" spans="1:3" x14ac:dyDescent="0.25">
      <c r="A365" s="14">
        <v>900715396</v>
      </c>
      <c r="B365" s="11" t="s">
        <v>205</v>
      </c>
      <c r="C365" s="18">
        <v>1000000</v>
      </c>
    </row>
    <row r="366" spans="1:3" x14ac:dyDescent="0.25">
      <c r="A366" s="14">
        <v>900715396</v>
      </c>
      <c r="B366" s="11" t="s">
        <v>205</v>
      </c>
      <c r="C366" s="18">
        <v>1000000</v>
      </c>
    </row>
    <row r="367" spans="1:3" x14ac:dyDescent="0.25">
      <c r="A367" s="14">
        <v>900715396</v>
      </c>
      <c r="B367" s="11" t="s">
        <v>205</v>
      </c>
      <c r="C367" s="18">
        <v>1000000</v>
      </c>
    </row>
    <row r="368" spans="1:3" x14ac:dyDescent="0.25">
      <c r="A368" s="14">
        <v>900715396</v>
      </c>
      <c r="B368" s="11" t="s">
        <v>205</v>
      </c>
      <c r="C368" s="18">
        <v>1000000</v>
      </c>
    </row>
    <row r="369" spans="1:3" x14ac:dyDescent="0.25">
      <c r="A369" s="14">
        <v>900715396</v>
      </c>
      <c r="B369" s="11" t="s">
        <v>205</v>
      </c>
      <c r="C369" s="18">
        <v>1000000</v>
      </c>
    </row>
    <row r="370" spans="1:3" x14ac:dyDescent="0.25">
      <c r="A370" s="14">
        <v>900715396</v>
      </c>
      <c r="B370" s="11" t="s">
        <v>205</v>
      </c>
      <c r="C370" s="18">
        <v>1000000</v>
      </c>
    </row>
    <row r="371" spans="1:3" x14ac:dyDescent="0.25">
      <c r="A371" s="14">
        <v>900715396</v>
      </c>
      <c r="B371" s="11" t="s">
        <v>205</v>
      </c>
      <c r="C371" s="18">
        <v>1000000</v>
      </c>
    </row>
    <row r="372" spans="1:3" x14ac:dyDescent="0.25">
      <c r="A372" s="14">
        <v>900715396</v>
      </c>
      <c r="B372" s="11" t="s">
        <v>205</v>
      </c>
      <c r="C372" s="18">
        <v>1000000</v>
      </c>
    </row>
    <row r="373" spans="1:3" x14ac:dyDescent="0.25">
      <c r="A373" s="14">
        <v>900715396</v>
      </c>
      <c r="B373" s="11" t="s">
        <v>205</v>
      </c>
      <c r="C373" s="18">
        <v>1000000</v>
      </c>
    </row>
    <row r="374" spans="1:3" x14ac:dyDescent="0.25">
      <c r="A374" s="14">
        <v>400</v>
      </c>
      <c r="B374" s="11" t="s">
        <v>206</v>
      </c>
      <c r="C374" s="19">
        <v>1000000</v>
      </c>
    </row>
    <row r="375" spans="1:3" x14ac:dyDescent="0.25">
      <c r="A375" s="14">
        <v>1002587699</v>
      </c>
      <c r="B375" s="11" t="s">
        <v>207</v>
      </c>
      <c r="C375" s="18">
        <v>1000000</v>
      </c>
    </row>
    <row r="376" spans="1:3" x14ac:dyDescent="0.25">
      <c r="A376" s="14">
        <v>86002767</v>
      </c>
      <c r="B376" s="11" t="s">
        <v>208</v>
      </c>
      <c r="C376" s="18">
        <v>1000000</v>
      </c>
    </row>
    <row r="377" spans="1:3" x14ac:dyDescent="0.25">
      <c r="A377" s="14">
        <v>1019059454</v>
      </c>
      <c r="B377" s="11" t="s">
        <v>209</v>
      </c>
      <c r="C377" s="19">
        <v>1000000</v>
      </c>
    </row>
    <row r="378" spans="1:3" x14ac:dyDescent="0.25">
      <c r="A378" s="14">
        <v>1010209877</v>
      </c>
      <c r="B378" s="11" t="s">
        <v>210</v>
      </c>
      <c r="C378" s="19">
        <v>1000000</v>
      </c>
    </row>
    <row r="379" spans="1:3" x14ac:dyDescent="0.25">
      <c r="A379" s="14">
        <v>75143614</v>
      </c>
      <c r="B379" s="11" t="s">
        <v>211</v>
      </c>
      <c r="C379" s="18">
        <v>1000000</v>
      </c>
    </row>
    <row r="380" spans="1:3" x14ac:dyDescent="0.25">
      <c r="A380" s="14">
        <v>80007010</v>
      </c>
      <c r="B380" s="11" t="s">
        <v>212</v>
      </c>
      <c r="C380" s="19">
        <v>1000000</v>
      </c>
    </row>
    <row r="381" spans="1:3" x14ac:dyDescent="0.25">
      <c r="A381" s="14">
        <v>79975592</v>
      </c>
      <c r="B381" s="11" t="s">
        <v>865</v>
      </c>
      <c r="C381" s="19">
        <v>0</v>
      </c>
    </row>
    <row r="382" spans="1:3" x14ac:dyDescent="0.25">
      <c r="A382" s="14">
        <v>173</v>
      </c>
      <c r="B382" s="11" t="s">
        <v>213</v>
      </c>
      <c r="C382" s="18">
        <v>1000000</v>
      </c>
    </row>
    <row r="383" spans="1:3" x14ac:dyDescent="0.25">
      <c r="A383" s="14">
        <v>1016033848</v>
      </c>
      <c r="B383" s="11" t="s">
        <v>214</v>
      </c>
      <c r="C383" s="19">
        <v>1000000</v>
      </c>
    </row>
    <row r="384" spans="1:3" x14ac:dyDescent="0.25">
      <c r="A384" s="14">
        <v>711</v>
      </c>
      <c r="B384" s="11" t="s">
        <v>1109</v>
      </c>
      <c r="C384" s="19">
        <v>1000000</v>
      </c>
    </row>
    <row r="385" spans="1:3" x14ac:dyDescent="0.25">
      <c r="A385" s="14">
        <v>1234</v>
      </c>
      <c r="B385" s="11" t="s">
        <v>1110</v>
      </c>
      <c r="C385" s="18">
        <v>1000000</v>
      </c>
    </row>
    <row r="386" spans="1:3" x14ac:dyDescent="0.25">
      <c r="A386" s="14">
        <v>1014244459</v>
      </c>
      <c r="B386" s="11" t="s">
        <v>1111</v>
      </c>
      <c r="C386" s="18">
        <v>1000000</v>
      </c>
    </row>
    <row r="387" spans="1:3" x14ac:dyDescent="0.25">
      <c r="A387" s="14">
        <v>713</v>
      </c>
      <c r="B387" s="11" t="s">
        <v>1112</v>
      </c>
      <c r="C387" s="19">
        <v>2000000</v>
      </c>
    </row>
    <row r="388" spans="1:3" x14ac:dyDescent="0.25">
      <c r="A388" s="14">
        <v>80432801</v>
      </c>
      <c r="B388" s="11" t="s">
        <v>215</v>
      </c>
      <c r="C388" s="19">
        <v>1000000</v>
      </c>
    </row>
    <row r="389" spans="1:3" x14ac:dyDescent="0.25">
      <c r="A389" s="14">
        <v>80432801</v>
      </c>
      <c r="B389" s="11" t="s">
        <v>215</v>
      </c>
      <c r="C389" s="19">
        <v>1000000</v>
      </c>
    </row>
    <row r="390" spans="1:3" x14ac:dyDescent="0.25">
      <c r="A390" s="14">
        <v>1034315349</v>
      </c>
      <c r="B390" s="11" t="s">
        <v>216</v>
      </c>
      <c r="C390" s="19">
        <v>1000000</v>
      </c>
    </row>
    <row r="391" spans="1:3" x14ac:dyDescent="0.25">
      <c r="A391" s="14">
        <v>1010018939</v>
      </c>
      <c r="B391" s="11" t="s">
        <v>217</v>
      </c>
      <c r="C391" s="19">
        <v>1000000</v>
      </c>
    </row>
    <row r="392" spans="1:3" x14ac:dyDescent="0.25">
      <c r="A392" s="14">
        <v>900803520</v>
      </c>
      <c r="B392" s="11" t="s">
        <v>828</v>
      </c>
      <c r="C392" s="19">
        <v>4000000</v>
      </c>
    </row>
    <row r="393" spans="1:3" x14ac:dyDescent="0.25">
      <c r="A393" s="14">
        <v>1018459629</v>
      </c>
      <c r="B393" s="11" t="s">
        <v>218</v>
      </c>
      <c r="C393" s="19">
        <v>1000000</v>
      </c>
    </row>
    <row r="394" spans="1:3" x14ac:dyDescent="0.25">
      <c r="A394" s="14">
        <v>901320714</v>
      </c>
      <c r="B394" s="11" t="s">
        <v>219</v>
      </c>
      <c r="C394" s="19">
        <v>1000000</v>
      </c>
    </row>
    <row r="395" spans="1:3" x14ac:dyDescent="0.25">
      <c r="A395" s="14">
        <v>900057199</v>
      </c>
      <c r="B395" s="11" t="s">
        <v>220</v>
      </c>
      <c r="C395" s="19">
        <v>30000000</v>
      </c>
    </row>
    <row r="396" spans="1:3" x14ac:dyDescent="0.25">
      <c r="A396" s="14">
        <v>700174290</v>
      </c>
      <c r="B396" s="11" t="s">
        <v>221</v>
      </c>
      <c r="C396" s="19">
        <v>1000000</v>
      </c>
    </row>
    <row r="397" spans="1:3" x14ac:dyDescent="0.25">
      <c r="A397" s="14">
        <v>411</v>
      </c>
      <c r="B397" s="11" t="s">
        <v>222</v>
      </c>
      <c r="C397" s="19">
        <v>1000000</v>
      </c>
    </row>
    <row r="398" spans="1:3" x14ac:dyDescent="0.25">
      <c r="A398" s="14">
        <v>52342811</v>
      </c>
      <c r="B398" s="11" t="s">
        <v>223</v>
      </c>
      <c r="C398" s="19">
        <v>1000000</v>
      </c>
    </row>
    <row r="399" spans="1:3" x14ac:dyDescent="0.25">
      <c r="A399" s="14">
        <v>53050385</v>
      </c>
      <c r="B399" s="11" t="s">
        <v>1113</v>
      </c>
      <c r="C399" s="18">
        <v>1000000</v>
      </c>
    </row>
    <row r="400" spans="1:3" x14ac:dyDescent="0.25">
      <c r="A400" s="14">
        <v>53053364</v>
      </c>
      <c r="B400" s="11" t="s">
        <v>1114</v>
      </c>
      <c r="C400" s="19">
        <v>1000000</v>
      </c>
    </row>
    <row r="401" spans="1:3" x14ac:dyDescent="0.25">
      <c r="A401" s="14">
        <v>1015473065</v>
      </c>
      <c r="B401" s="11" t="s">
        <v>224</v>
      </c>
      <c r="C401" s="19">
        <v>1000000</v>
      </c>
    </row>
    <row r="402" spans="1:3" x14ac:dyDescent="0.25">
      <c r="A402" s="14">
        <v>1031132482</v>
      </c>
      <c r="B402" s="11" t="s">
        <v>225</v>
      </c>
      <c r="C402" s="18">
        <v>1000000</v>
      </c>
    </row>
    <row r="403" spans="1:3" x14ac:dyDescent="0.25">
      <c r="A403" s="14">
        <v>1013578615</v>
      </c>
      <c r="B403" s="11" t="s">
        <v>226</v>
      </c>
      <c r="C403" s="19">
        <v>1000000</v>
      </c>
    </row>
    <row r="404" spans="1:3" x14ac:dyDescent="0.25">
      <c r="A404" s="14">
        <v>52475751</v>
      </c>
      <c r="B404" s="11" t="s">
        <v>227</v>
      </c>
      <c r="C404" s="19">
        <v>1000000</v>
      </c>
    </row>
    <row r="405" spans="1:3" x14ac:dyDescent="0.25">
      <c r="A405" s="14">
        <v>1101019163</v>
      </c>
      <c r="B405" s="11" t="s">
        <v>228</v>
      </c>
      <c r="C405" s="19">
        <v>4000000</v>
      </c>
    </row>
    <row r="406" spans="1:3" x14ac:dyDescent="0.25">
      <c r="A406" s="14">
        <v>14397352</v>
      </c>
      <c r="B406" s="11" t="s">
        <v>1115</v>
      </c>
      <c r="C406" s="18">
        <v>1000000</v>
      </c>
    </row>
    <row r="407" spans="1:3" x14ac:dyDescent="0.25">
      <c r="A407" s="14">
        <v>80001527</v>
      </c>
      <c r="B407" s="11" t="s">
        <v>229</v>
      </c>
      <c r="C407" s="18">
        <v>1000000</v>
      </c>
    </row>
    <row r="408" spans="1:3" x14ac:dyDescent="0.25">
      <c r="A408" s="14">
        <v>79968865</v>
      </c>
      <c r="B408" s="11" t="s">
        <v>230</v>
      </c>
      <c r="C408" s="19">
        <v>1000000</v>
      </c>
    </row>
    <row r="409" spans="1:3" x14ac:dyDescent="0.25">
      <c r="A409" s="14">
        <v>80771317</v>
      </c>
      <c r="B409" s="11" t="s">
        <v>231</v>
      </c>
      <c r="C409" s="19">
        <v>1000000</v>
      </c>
    </row>
    <row r="410" spans="1:3" x14ac:dyDescent="0.25">
      <c r="A410" s="14">
        <v>1019145894</v>
      </c>
      <c r="B410" s="11" t="s">
        <v>858</v>
      </c>
      <c r="C410" s="19">
        <v>0</v>
      </c>
    </row>
    <row r="411" spans="1:3" x14ac:dyDescent="0.25">
      <c r="A411" s="14">
        <v>167</v>
      </c>
      <c r="B411" s="11" t="s">
        <v>232</v>
      </c>
      <c r="C411" s="18">
        <v>1000000</v>
      </c>
    </row>
    <row r="412" spans="1:3" x14ac:dyDescent="0.25">
      <c r="A412" s="14">
        <v>80251957</v>
      </c>
      <c r="B412" s="11" t="s">
        <v>841</v>
      </c>
      <c r="C412" s="19">
        <v>0</v>
      </c>
    </row>
    <row r="413" spans="1:3" x14ac:dyDescent="0.25">
      <c r="A413" s="14">
        <v>901201136</v>
      </c>
      <c r="B413" s="11" t="s">
        <v>233</v>
      </c>
      <c r="C413" s="19">
        <v>1000000</v>
      </c>
    </row>
    <row r="414" spans="1:3" x14ac:dyDescent="0.25">
      <c r="A414" s="14">
        <v>901621600</v>
      </c>
      <c r="B414" s="11" t="s">
        <v>998</v>
      </c>
      <c r="C414" s="19">
        <v>1000000</v>
      </c>
    </row>
    <row r="415" spans="1:3" x14ac:dyDescent="0.25">
      <c r="A415" s="14">
        <v>901354155</v>
      </c>
      <c r="B415" s="11" t="s">
        <v>234</v>
      </c>
      <c r="C415" s="19">
        <v>20000000</v>
      </c>
    </row>
    <row r="416" spans="1:3" x14ac:dyDescent="0.25">
      <c r="A416" s="14">
        <v>901354155</v>
      </c>
      <c r="B416" s="11" t="s">
        <v>234</v>
      </c>
      <c r="C416" s="19">
        <v>20000000</v>
      </c>
    </row>
    <row r="417" spans="1:3" x14ac:dyDescent="0.25">
      <c r="A417" s="14">
        <v>900870388</v>
      </c>
      <c r="B417" s="11" t="s">
        <v>1116</v>
      </c>
      <c r="C417" s="19">
        <v>1000000</v>
      </c>
    </row>
    <row r="418" spans="1:3" x14ac:dyDescent="0.25">
      <c r="A418" s="14">
        <v>901676446</v>
      </c>
      <c r="B418" s="11" t="s">
        <v>235</v>
      </c>
      <c r="C418" s="19">
        <v>1000000</v>
      </c>
    </row>
    <row r="419" spans="1:3" x14ac:dyDescent="0.25">
      <c r="A419" s="14">
        <v>1030583941</v>
      </c>
      <c r="B419" s="11" t="s">
        <v>236</v>
      </c>
      <c r="C419" s="18">
        <v>1000000</v>
      </c>
    </row>
    <row r="420" spans="1:3" x14ac:dyDescent="0.25">
      <c r="A420" s="14">
        <v>901419267</v>
      </c>
      <c r="B420" s="11" t="s">
        <v>237</v>
      </c>
      <c r="C420" s="19">
        <v>1000000</v>
      </c>
    </row>
    <row r="421" spans="1:3" x14ac:dyDescent="0.25">
      <c r="A421" s="14">
        <v>900435523</v>
      </c>
      <c r="B421" s="11" t="s">
        <v>238</v>
      </c>
      <c r="C421" s="19">
        <v>1000000</v>
      </c>
    </row>
    <row r="422" spans="1:3" x14ac:dyDescent="0.25">
      <c r="A422" s="14">
        <v>79874820</v>
      </c>
      <c r="B422" s="11" t="s">
        <v>239</v>
      </c>
      <c r="C422" s="18">
        <v>1000000</v>
      </c>
    </row>
    <row r="423" spans="1:3" x14ac:dyDescent="0.25">
      <c r="A423" s="14">
        <v>900209725</v>
      </c>
      <c r="B423" s="11" t="s">
        <v>240</v>
      </c>
      <c r="C423" s="18">
        <v>1000000</v>
      </c>
    </row>
    <row r="424" spans="1:3" x14ac:dyDescent="0.25">
      <c r="A424" s="14">
        <v>901481571</v>
      </c>
      <c r="B424" s="11" t="s">
        <v>241</v>
      </c>
      <c r="C424" s="18">
        <v>1000000</v>
      </c>
    </row>
    <row r="425" spans="1:3" x14ac:dyDescent="0.25">
      <c r="A425" s="14">
        <v>380</v>
      </c>
      <c r="B425" s="11" t="s">
        <v>242</v>
      </c>
      <c r="C425" s="19">
        <v>1000000</v>
      </c>
    </row>
    <row r="426" spans="1:3" x14ac:dyDescent="0.25">
      <c r="A426" s="14">
        <v>900296384</v>
      </c>
      <c r="B426" s="11" t="s">
        <v>243</v>
      </c>
      <c r="C426" s="19">
        <v>1000000</v>
      </c>
    </row>
    <row r="427" spans="1:3" x14ac:dyDescent="0.25">
      <c r="A427" s="14">
        <v>431</v>
      </c>
      <c r="B427" s="11" t="s">
        <v>244</v>
      </c>
      <c r="C427" s="19">
        <v>1000000</v>
      </c>
    </row>
    <row r="428" spans="1:3" x14ac:dyDescent="0.25">
      <c r="A428" s="14">
        <v>901566501</v>
      </c>
      <c r="B428" s="11" t="s">
        <v>245</v>
      </c>
      <c r="C428" s="18">
        <v>1000000</v>
      </c>
    </row>
    <row r="429" spans="1:3" x14ac:dyDescent="0.25">
      <c r="A429" s="14">
        <v>860015928</v>
      </c>
      <c r="B429" s="11" t="s">
        <v>246</v>
      </c>
      <c r="C429" s="18">
        <v>1000000</v>
      </c>
    </row>
    <row r="430" spans="1:3" x14ac:dyDescent="0.25">
      <c r="A430" s="14">
        <v>900865924</v>
      </c>
      <c r="B430" s="11" t="s">
        <v>247</v>
      </c>
      <c r="C430" s="19">
        <v>1000000</v>
      </c>
    </row>
    <row r="431" spans="1:3" x14ac:dyDescent="0.25">
      <c r="A431" s="14">
        <v>52899303</v>
      </c>
      <c r="B431" s="11" t="s">
        <v>854</v>
      </c>
      <c r="C431" s="19">
        <v>0</v>
      </c>
    </row>
    <row r="432" spans="1:3" x14ac:dyDescent="0.25">
      <c r="A432" s="14">
        <v>28686887</v>
      </c>
      <c r="B432" s="11" t="s">
        <v>248</v>
      </c>
      <c r="C432" s="18">
        <v>1000000</v>
      </c>
    </row>
    <row r="433" spans="1:3" x14ac:dyDescent="0.25">
      <c r="A433" s="14">
        <v>900139910</v>
      </c>
      <c r="B433" s="11" t="s">
        <v>249</v>
      </c>
      <c r="C433" s="19">
        <v>5000000</v>
      </c>
    </row>
    <row r="434" spans="1:3" x14ac:dyDescent="0.25">
      <c r="A434" s="14">
        <v>900139910</v>
      </c>
      <c r="B434" s="11" t="s">
        <v>249</v>
      </c>
      <c r="C434" s="19">
        <v>5000000</v>
      </c>
    </row>
    <row r="435" spans="1:3" x14ac:dyDescent="0.25">
      <c r="A435" s="14">
        <v>801004045</v>
      </c>
      <c r="B435" s="11" t="s">
        <v>1117</v>
      </c>
      <c r="C435" s="19">
        <v>1000000</v>
      </c>
    </row>
    <row r="436" spans="1:3" x14ac:dyDescent="0.25">
      <c r="A436" s="14">
        <v>901566837</v>
      </c>
      <c r="B436" s="11" t="s">
        <v>250</v>
      </c>
      <c r="C436" s="19">
        <v>40000000</v>
      </c>
    </row>
    <row r="437" spans="1:3" x14ac:dyDescent="0.25">
      <c r="A437" s="14">
        <v>901566837</v>
      </c>
      <c r="B437" s="11" t="s">
        <v>250</v>
      </c>
      <c r="C437" s="19">
        <v>40000000</v>
      </c>
    </row>
    <row r="438" spans="1:3" x14ac:dyDescent="0.25">
      <c r="A438" s="14">
        <v>1073682538</v>
      </c>
      <c r="B438" s="11" t="s">
        <v>251</v>
      </c>
      <c r="C438" s="19">
        <v>1000000</v>
      </c>
    </row>
    <row r="439" spans="1:3" x14ac:dyDescent="0.25">
      <c r="A439" s="14">
        <v>51724627</v>
      </c>
      <c r="B439" s="11" t="s">
        <v>252</v>
      </c>
      <c r="C439" s="19">
        <v>1000000</v>
      </c>
    </row>
    <row r="440" spans="1:3" x14ac:dyDescent="0.25">
      <c r="A440" s="14">
        <v>901210319</v>
      </c>
      <c r="B440" s="11" t="s">
        <v>869</v>
      </c>
      <c r="C440" s="19">
        <v>5000000</v>
      </c>
    </row>
    <row r="441" spans="1:3" x14ac:dyDescent="0.25">
      <c r="A441" s="14">
        <v>900608930</v>
      </c>
      <c r="B441" s="11" t="s">
        <v>871</v>
      </c>
      <c r="C441" s="19">
        <v>3000000</v>
      </c>
    </row>
    <row r="442" spans="1:3" x14ac:dyDescent="0.25">
      <c r="A442" s="14">
        <v>900725984</v>
      </c>
      <c r="B442" s="11" t="s">
        <v>253</v>
      </c>
      <c r="C442" s="19">
        <v>1000000</v>
      </c>
    </row>
    <row r="443" spans="1:3" x14ac:dyDescent="0.25">
      <c r="A443" s="14">
        <v>1018466353</v>
      </c>
      <c r="B443" s="11" t="s">
        <v>1000</v>
      </c>
      <c r="C443" s="19">
        <v>5000000</v>
      </c>
    </row>
    <row r="444" spans="1:3" x14ac:dyDescent="0.25">
      <c r="A444" s="14">
        <v>891856718</v>
      </c>
      <c r="B444" s="11" t="s">
        <v>800</v>
      </c>
      <c r="C444" s="19">
        <v>30000000</v>
      </c>
    </row>
    <row r="445" spans="1:3" x14ac:dyDescent="0.25">
      <c r="A445" s="14">
        <v>891856718</v>
      </c>
      <c r="B445" s="11" t="s">
        <v>800</v>
      </c>
      <c r="C445" s="19">
        <v>30000000</v>
      </c>
    </row>
    <row r="446" spans="1:3" x14ac:dyDescent="0.25">
      <c r="A446" s="14">
        <v>1023878021</v>
      </c>
      <c r="B446" s="11" t="s">
        <v>254</v>
      </c>
      <c r="C446" s="18">
        <v>1000000</v>
      </c>
    </row>
    <row r="447" spans="1:3" x14ac:dyDescent="0.25">
      <c r="A447" s="14">
        <v>901246391</v>
      </c>
      <c r="B447" s="11" t="s">
        <v>947</v>
      </c>
      <c r="C447" s="19">
        <v>500000</v>
      </c>
    </row>
    <row r="448" spans="1:3" x14ac:dyDescent="0.25">
      <c r="A448" s="14">
        <v>900546973</v>
      </c>
      <c r="B448" s="11" t="s">
        <v>255</v>
      </c>
      <c r="C448" s="18">
        <v>1000000</v>
      </c>
    </row>
    <row r="449" spans="1:3" x14ac:dyDescent="0.25">
      <c r="A449" s="14">
        <v>1054373658</v>
      </c>
      <c r="B449" s="11" t="s">
        <v>256</v>
      </c>
      <c r="C449" s="19">
        <v>1000000</v>
      </c>
    </row>
    <row r="450" spans="1:3" x14ac:dyDescent="0.25">
      <c r="A450" s="14">
        <v>1018469888</v>
      </c>
      <c r="B450" s="11" t="s">
        <v>257</v>
      </c>
      <c r="C450" s="18">
        <v>1000000</v>
      </c>
    </row>
    <row r="451" spans="1:3" x14ac:dyDescent="0.25">
      <c r="A451" s="14">
        <v>80224281</v>
      </c>
      <c r="B451" s="11" t="s">
        <v>258</v>
      </c>
      <c r="C451" s="19">
        <v>1000000</v>
      </c>
    </row>
    <row r="452" spans="1:3" x14ac:dyDescent="0.25">
      <c r="A452" s="14">
        <v>1073252152</v>
      </c>
      <c r="B452" s="11" t="s">
        <v>259</v>
      </c>
      <c r="C452" s="19">
        <v>1000000</v>
      </c>
    </row>
    <row r="453" spans="1:3" x14ac:dyDescent="0.25">
      <c r="A453" s="14">
        <v>1136880310</v>
      </c>
      <c r="B453" s="11" t="s">
        <v>260</v>
      </c>
      <c r="C453" s="18">
        <v>1000000</v>
      </c>
    </row>
    <row r="454" spans="1:3" x14ac:dyDescent="0.25">
      <c r="A454" s="14">
        <v>860514747</v>
      </c>
      <c r="B454" s="11" t="s">
        <v>261</v>
      </c>
      <c r="C454" s="19">
        <v>1000000</v>
      </c>
    </row>
    <row r="455" spans="1:3" x14ac:dyDescent="0.25">
      <c r="A455" s="14">
        <v>80133924</v>
      </c>
      <c r="B455" s="11" t="s">
        <v>262</v>
      </c>
      <c r="C455" s="19">
        <v>1000000</v>
      </c>
    </row>
    <row r="456" spans="1:3" x14ac:dyDescent="0.25">
      <c r="A456" s="14">
        <v>141</v>
      </c>
      <c r="B456" s="11" t="s">
        <v>263</v>
      </c>
      <c r="C456" s="18">
        <v>1000000</v>
      </c>
    </row>
    <row r="457" spans="1:3" x14ac:dyDescent="0.25">
      <c r="A457" s="14">
        <v>1015409243</v>
      </c>
      <c r="B457" s="11" t="s">
        <v>264</v>
      </c>
      <c r="C457" s="19">
        <v>1000000</v>
      </c>
    </row>
    <row r="458" spans="1:3" x14ac:dyDescent="0.25">
      <c r="A458" s="14">
        <v>1015436399</v>
      </c>
      <c r="B458" s="11" t="s">
        <v>1118</v>
      </c>
      <c r="C458" s="19">
        <v>1000000</v>
      </c>
    </row>
    <row r="459" spans="1:3" x14ac:dyDescent="0.25">
      <c r="A459" s="14">
        <v>1002587009</v>
      </c>
      <c r="B459" s="11" t="s">
        <v>265</v>
      </c>
      <c r="C459" s="19">
        <v>1000000</v>
      </c>
    </row>
    <row r="460" spans="1:3" x14ac:dyDescent="0.25">
      <c r="A460" s="14">
        <v>1002587009</v>
      </c>
      <c r="B460" s="11" t="s">
        <v>265</v>
      </c>
      <c r="C460" s="19">
        <v>1000000</v>
      </c>
    </row>
    <row r="461" spans="1:3" x14ac:dyDescent="0.25">
      <c r="A461" s="14">
        <v>136</v>
      </c>
      <c r="B461" s="11" t="s">
        <v>266</v>
      </c>
      <c r="C461" s="18">
        <v>1000000</v>
      </c>
    </row>
    <row r="462" spans="1:3" x14ac:dyDescent="0.25">
      <c r="A462" s="14">
        <v>133</v>
      </c>
      <c r="B462" s="11" t="s">
        <v>267</v>
      </c>
      <c r="C462" s="18">
        <v>1000000</v>
      </c>
    </row>
    <row r="463" spans="1:3" x14ac:dyDescent="0.25">
      <c r="A463" s="14">
        <v>901459927</v>
      </c>
      <c r="B463" s="11" t="s">
        <v>268</v>
      </c>
      <c r="C463" s="19">
        <v>1000000</v>
      </c>
    </row>
    <row r="464" spans="1:3" x14ac:dyDescent="0.25">
      <c r="A464" s="14">
        <v>901158148</v>
      </c>
      <c r="B464" s="11" t="s">
        <v>269</v>
      </c>
      <c r="C464" s="19">
        <v>1000000</v>
      </c>
    </row>
    <row r="465" spans="1:3" x14ac:dyDescent="0.25">
      <c r="A465" s="14">
        <v>830080167</v>
      </c>
      <c r="B465" s="11" t="s">
        <v>270</v>
      </c>
      <c r="C465" s="18">
        <v>50000000</v>
      </c>
    </row>
    <row r="466" spans="1:3" x14ac:dyDescent="0.25">
      <c r="A466" s="14">
        <v>830080157</v>
      </c>
      <c r="B466" s="11" t="s">
        <v>271</v>
      </c>
      <c r="C466" s="18">
        <v>50000000</v>
      </c>
    </row>
    <row r="467" spans="1:3" x14ac:dyDescent="0.25">
      <c r="A467" s="14">
        <v>830080157</v>
      </c>
      <c r="B467" s="11" t="s">
        <v>271</v>
      </c>
      <c r="C467" s="18">
        <v>50000000</v>
      </c>
    </row>
    <row r="468" spans="1:3" x14ac:dyDescent="0.25">
      <c r="A468" s="14">
        <v>830080157</v>
      </c>
      <c r="B468" s="11" t="s">
        <v>271</v>
      </c>
      <c r="C468" s="18">
        <v>50000000</v>
      </c>
    </row>
    <row r="469" spans="1:3" x14ac:dyDescent="0.25">
      <c r="A469" s="14">
        <v>901603377</v>
      </c>
      <c r="B469" s="11" t="s">
        <v>272</v>
      </c>
      <c r="C469" s="19">
        <v>1000000</v>
      </c>
    </row>
    <row r="470" spans="1:3" x14ac:dyDescent="0.25">
      <c r="A470" s="14">
        <v>901572366</v>
      </c>
      <c r="B470" s="11" t="s">
        <v>273</v>
      </c>
      <c r="C470" s="19">
        <v>100000000</v>
      </c>
    </row>
    <row r="471" spans="1:3" x14ac:dyDescent="0.25">
      <c r="A471" s="14">
        <v>901779098</v>
      </c>
      <c r="B471" s="11" t="s">
        <v>274</v>
      </c>
      <c r="C471" s="19">
        <v>1000000</v>
      </c>
    </row>
    <row r="472" spans="1:3" x14ac:dyDescent="0.25">
      <c r="A472" s="14">
        <v>901147906</v>
      </c>
      <c r="B472" s="11" t="s">
        <v>1119</v>
      </c>
      <c r="C472" s="18">
        <v>1000000</v>
      </c>
    </row>
    <row r="473" spans="1:3" x14ac:dyDescent="0.25">
      <c r="A473" s="14">
        <v>900194945</v>
      </c>
      <c r="B473" s="11" t="s">
        <v>275</v>
      </c>
      <c r="C473" s="19">
        <v>6000000</v>
      </c>
    </row>
    <row r="474" spans="1:3" x14ac:dyDescent="0.25">
      <c r="A474" s="14">
        <v>900194945</v>
      </c>
      <c r="B474" s="11" t="s">
        <v>275</v>
      </c>
      <c r="C474" s="19">
        <v>6000000</v>
      </c>
    </row>
    <row r="475" spans="1:3" x14ac:dyDescent="0.25">
      <c r="A475" s="14">
        <v>51735274</v>
      </c>
      <c r="B475" s="11" t="s">
        <v>276</v>
      </c>
      <c r="C475" s="18">
        <v>1000000</v>
      </c>
    </row>
    <row r="476" spans="1:3" x14ac:dyDescent="0.25">
      <c r="A476" s="14">
        <v>3101109</v>
      </c>
      <c r="B476" s="11" t="s">
        <v>1120</v>
      </c>
      <c r="C476" s="18">
        <v>1000000</v>
      </c>
    </row>
    <row r="477" spans="1:3" x14ac:dyDescent="0.25">
      <c r="A477" s="14">
        <v>7369883</v>
      </c>
      <c r="B477" s="11" t="s">
        <v>1121</v>
      </c>
      <c r="C477" s="19">
        <v>0</v>
      </c>
    </row>
    <row r="478" spans="1:3" x14ac:dyDescent="0.25">
      <c r="A478" s="14">
        <v>1120560126</v>
      </c>
      <c r="B478" s="11" t="s">
        <v>834</v>
      </c>
      <c r="C478" s="19">
        <v>0</v>
      </c>
    </row>
    <row r="479" spans="1:3" x14ac:dyDescent="0.25">
      <c r="A479" s="14">
        <v>39759834</v>
      </c>
      <c r="B479" s="11" t="s">
        <v>277</v>
      </c>
      <c r="C479" s="19">
        <v>1000000</v>
      </c>
    </row>
    <row r="480" spans="1:3" x14ac:dyDescent="0.25">
      <c r="A480" s="14">
        <v>1024609408</v>
      </c>
      <c r="B480" s="11" t="s">
        <v>1122</v>
      </c>
      <c r="C480" s="18">
        <v>1000000</v>
      </c>
    </row>
    <row r="481" spans="1:3" x14ac:dyDescent="0.25">
      <c r="A481" s="14">
        <v>65713302</v>
      </c>
      <c r="B481" s="11" t="s">
        <v>278</v>
      </c>
      <c r="C481" s="18">
        <v>1000000</v>
      </c>
    </row>
    <row r="482" spans="1:3" x14ac:dyDescent="0.25">
      <c r="A482" s="14">
        <v>901036087</v>
      </c>
      <c r="B482" s="11" t="s">
        <v>279</v>
      </c>
      <c r="C482" s="19">
        <v>1000000</v>
      </c>
    </row>
    <row r="483" spans="1:3" x14ac:dyDescent="0.25">
      <c r="A483" s="14">
        <v>28140067</v>
      </c>
      <c r="B483" s="11" t="s">
        <v>280</v>
      </c>
      <c r="C483" s="18">
        <v>1000000</v>
      </c>
    </row>
    <row r="484" spans="1:3" x14ac:dyDescent="0.25">
      <c r="A484" s="14">
        <v>1025521518</v>
      </c>
      <c r="B484" s="11" t="s">
        <v>281</v>
      </c>
      <c r="C484" s="18">
        <v>1000000</v>
      </c>
    </row>
    <row r="485" spans="1:3" x14ac:dyDescent="0.25">
      <c r="A485" s="14">
        <v>1016031767</v>
      </c>
      <c r="B485" s="11" t="s">
        <v>1123</v>
      </c>
      <c r="C485" s="18">
        <v>1000000</v>
      </c>
    </row>
    <row r="486" spans="1:3" x14ac:dyDescent="0.25">
      <c r="A486" s="14">
        <v>19364723</v>
      </c>
      <c r="B486" s="11" t="s">
        <v>282</v>
      </c>
      <c r="C486" s="19">
        <v>1000000</v>
      </c>
    </row>
    <row r="487" spans="1:3" x14ac:dyDescent="0.25">
      <c r="A487" s="14">
        <v>80196793</v>
      </c>
      <c r="B487" s="11" t="s">
        <v>1060</v>
      </c>
      <c r="C487" s="18">
        <v>0</v>
      </c>
    </row>
    <row r="488" spans="1:3" x14ac:dyDescent="0.25">
      <c r="A488" s="14">
        <v>90071596</v>
      </c>
      <c r="B488" s="11" t="s">
        <v>824</v>
      </c>
      <c r="C488" s="19">
        <v>1000000</v>
      </c>
    </row>
    <row r="489" spans="1:3" x14ac:dyDescent="0.25">
      <c r="A489" s="14">
        <v>90071596</v>
      </c>
      <c r="B489" s="11" t="s">
        <v>824</v>
      </c>
      <c r="C489" s="19">
        <v>1000000</v>
      </c>
    </row>
    <row r="490" spans="1:3" x14ac:dyDescent="0.25">
      <c r="A490" s="14">
        <v>90071596</v>
      </c>
      <c r="B490" s="11" t="s">
        <v>824</v>
      </c>
      <c r="C490" s="19">
        <v>1000000</v>
      </c>
    </row>
    <row r="491" spans="1:3" x14ac:dyDescent="0.25">
      <c r="A491" s="14">
        <v>90071596</v>
      </c>
      <c r="B491" s="11" t="s">
        <v>824</v>
      </c>
      <c r="C491" s="19">
        <v>1000000</v>
      </c>
    </row>
    <row r="492" spans="1:3" x14ac:dyDescent="0.25">
      <c r="A492" s="14">
        <v>90071596</v>
      </c>
      <c r="B492" s="11" t="s">
        <v>824</v>
      </c>
      <c r="C492" s="19">
        <v>1000000</v>
      </c>
    </row>
    <row r="493" spans="1:3" x14ac:dyDescent="0.25">
      <c r="A493" s="14">
        <v>90071596</v>
      </c>
      <c r="B493" s="11" t="s">
        <v>824</v>
      </c>
      <c r="C493" s="19">
        <v>1000000</v>
      </c>
    </row>
    <row r="494" spans="1:3" x14ac:dyDescent="0.25">
      <c r="A494" s="14">
        <v>90071596</v>
      </c>
      <c r="B494" s="11" t="s">
        <v>824</v>
      </c>
      <c r="C494" s="19">
        <v>1000000</v>
      </c>
    </row>
    <row r="495" spans="1:3" x14ac:dyDescent="0.25">
      <c r="A495" s="14">
        <v>90071596</v>
      </c>
      <c r="B495" s="11" t="s">
        <v>824</v>
      </c>
      <c r="C495" s="19">
        <v>1000000</v>
      </c>
    </row>
    <row r="496" spans="1:3" x14ac:dyDescent="0.25">
      <c r="A496" s="14">
        <v>90071596</v>
      </c>
      <c r="B496" s="11" t="s">
        <v>824</v>
      </c>
      <c r="C496" s="19">
        <v>1000000</v>
      </c>
    </row>
    <row r="497" spans="1:3" x14ac:dyDescent="0.25">
      <c r="A497" s="14">
        <v>90071596</v>
      </c>
      <c r="B497" s="11" t="s">
        <v>824</v>
      </c>
      <c r="C497" s="19">
        <v>1000000</v>
      </c>
    </row>
    <row r="498" spans="1:3" x14ac:dyDescent="0.25">
      <c r="A498" s="14">
        <v>90071596</v>
      </c>
      <c r="B498" s="11" t="s">
        <v>824</v>
      </c>
      <c r="C498" s="19">
        <v>1000000</v>
      </c>
    </row>
    <row r="499" spans="1:3" x14ac:dyDescent="0.25">
      <c r="A499" s="14">
        <v>90071596</v>
      </c>
      <c r="B499" s="11" t="s">
        <v>824</v>
      </c>
      <c r="C499" s="19">
        <v>1000000</v>
      </c>
    </row>
    <row r="500" spans="1:3" x14ac:dyDescent="0.25">
      <c r="A500" s="14">
        <v>901736655</v>
      </c>
      <c r="B500" s="11" t="s">
        <v>1002</v>
      </c>
      <c r="C500" s="18">
        <v>0</v>
      </c>
    </row>
    <row r="501" spans="1:3" x14ac:dyDescent="0.25">
      <c r="A501" s="14">
        <v>192964367</v>
      </c>
      <c r="B501" s="11" t="s">
        <v>1002</v>
      </c>
      <c r="C501" s="18">
        <v>0</v>
      </c>
    </row>
    <row r="502" spans="1:3" x14ac:dyDescent="0.25">
      <c r="A502" s="14">
        <v>10245369454</v>
      </c>
      <c r="B502" s="11" t="s">
        <v>1002</v>
      </c>
      <c r="C502" s="19">
        <v>4000000</v>
      </c>
    </row>
    <row r="503" spans="1:3" x14ac:dyDescent="0.25">
      <c r="A503" s="14">
        <v>40471543</v>
      </c>
      <c r="B503" s="11" t="s">
        <v>1124</v>
      </c>
      <c r="C503" s="19">
        <v>2000000</v>
      </c>
    </row>
    <row r="504" spans="1:3" x14ac:dyDescent="0.25">
      <c r="A504" s="14">
        <v>901205532</v>
      </c>
      <c r="B504" s="11" t="s">
        <v>1061</v>
      </c>
      <c r="C504" s="18">
        <v>0</v>
      </c>
    </row>
    <row r="505" spans="1:3" x14ac:dyDescent="0.25">
      <c r="A505" s="14">
        <v>52710378</v>
      </c>
      <c r="B505" s="11" t="s">
        <v>1062</v>
      </c>
      <c r="C505" s="18">
        <v>0</v>
      </c>
    </row>
    <row r="506" spans="1:3" x14ac:dyDescent="0.25">
      <c r="A506" s="14">
        <v>830129289</v>
      </c>
      <c r="B506" s="11" t="s">
        <v>1063</v>
      </c>
      <c r="C506" s="18">
        <v>0</v>
      </c>
    </row>
    <row r="507" spans="1:3" x14ac:dyDescent="0.25">
      <c r="A507" s="14">
        <v>107729972</v>
      </c>
      <c r="B507" s="11" t="s">
        <v>1125</v>
      </c>
      <c r="C507" s="18">
        <v>1000000</v>
      </c>
    </row>
    <row r="508" spans="1:3" x14ac:dyDescent="0.25">
      <c r="A508" s="14">
        <v>107729972</v>
      </c>
      <c r="B508" s="11" t="s">
        <v>1125</v>
      </c>
      <c r="C508" s="18">
        <v>1000000</v>
      </c>
    </row>
    <row r="509" spans="1:3" x14ac:dyDescent="0.25">
      <c r="A509" s="14">
        <v>106447885</v>
      </c>
      <c r="B509" s="11" t="s">
        <v>1126</v>
      </c>
      <c r="C509" s="19">
        <v>1000000</v>
      </c>
    </row>
    <row r="510" spans="1:3" x14ac:dyDescent="0.25">
      <c r="A510" s="14">
        <v>9017155861</v>
      </c>
      <c r="B510" s="11" t="s">
        <v>1064</v>
      </c>
      <c r="C510" s="18">
        <v>0</v>
      </c>
    </row>
    <row r="511" spans="1:3" x14ac:dyDescent="0.25">
      <c r="A511" s="14">
        <v>743553112</v>
      </c>
      <c r="B511" s="11" t="s">
        <v>283</v>
      </c>
      <c r="C511" s="18">
        <v>0</v>
      </c>
    </row>
    <row r="512" spans="1:3" x14ac:dyDescent="0.25">
      <c r="A512" s="14">
        <v>1127917126</v>
      </c>
      <c r="B512" s="11" t="s">
        <v>284</v>
      </c>
      <c r="C512" s="18">
        <v>0</v>
      </c>
    </row>
    <row r="513" spans="1:3" x14ac:dyDescent="0.25">
      <c r="A513" s="14">
        <v>93906692</v>
      </c>
      <c r="B513" s="11" t="s">
        <v>284</v>
      </c>
      <c r="C513" s="18">
        <v>0</v>
      </c>
    </row>
    <row r="514" spans="1:3" x14ac:dyDescent="0.25">
      <c r="A514" s="14">
        <v>192741280</v>
      </c>
      <c r="B514" s="11" t="s">
        <v>284</v>
      </c>
      <c r="C514" s="18">
        <v>0</v>
      </c>
    </row>
    <row r="515" spans="1:3" x14ac:dyDescent="0.25">
      <c r="A515" s="14">
        <v>1192441280</v>
      </c>
      <c r="B515" s="11" t="s">
        <v>284</v>
      </c>
      <c r="C515" s="18">
        <v>0</v>
      </c>
    </row>
    <row r="516" spans="1:3" x14ac:dyDescent="0.25">
      <c r="A516" s="14">
        <v>79878168</v>
      </c>
      <c r="B516" s="11" t="s">
        <v>284</v>
      </c>
      <c r="C516" s="18">
        <v>0</v>
      </c>
    </row>
    <row r="517" spans="1:3" x14ac:dyDescent="0.25">
      <c r="A517" s="14">
        <v>79135458</v>
      </c>
      <c r="B517" s="11" t="s">
        <v>284</v>
      </c>
      <c r="C517" s="18">
        <v>0</v>
      </c>
    </row>
    <row r="518" spans="1:3" x14ac:dyDescent="0.25">
      <c r="A518" s="14">
        <v>10223996605</v>
      </c>
      <c r="B518" s="11" t="s">
        <v>285</v>
      </c>
      <c r="C518" s="18">
        <v>0</v>
      </c>
    </row>
    <row r="519" spans="1:3" x14ac:dyDescent="0.25">
      <c r="A519" s="14">
        <v>9011614782</v>
      </c>
      <c r="B519" s="11" t="s">
        <v>286</v>
      </c>
      <c r="C519" s="18">
        <v>0</v>
      </c>
    </row>
    <row r="520" spans="1:3" x14ac:dyDescent="0.25">
      <c r="A520" s="14">
        <v>9011614782</v>
      </c>
      <c r="B520" s="11" t="s">
        <v>286</v>
      </c>
      <c r="C520" s="18">
        <v>1000000</v>
      </c>
    </row>
    <row r="521" spans="1:3" x14ac:dyDescent="0.25">
      <c r="A521" s="14">
        <v>30322416</v>
      </c>
      <c r="B521" s="11" t="s">
        <v>1065</v>
      </c>
      <c r="C521" s="18">
        <v>0</v>
      </c>
    </row>
    <row r="522" spans="1:3" x14ac:dyDescent="0.25">
      <c r="A522" s="14">
        <v>405</v>
      </c>
      <c r="B522" s="11" t="s">
        <v>287</v>
      </c>
      <c r="C522" s="19">
        <v>1000000</v>
      </c>
    </row>
    <row r="523" spans="1:3" x14ac:dyDescent="0.25">
      <c r="A523" s="14">
        <v>51555538</v>
      </c>
      <c r="B523" s="11" t="s">
        <v>288</v>
      </c>
      <c r="C523" s="19">
        <v>1000000</v>
      </c>
    </row>
    <row r="524" spans="1:3" x14ac:dyDescent="0.25">
      <c r="A524" s="14">
        <v>455</v>
      </c>
      <c r="B524" s="11" t="s">
        <v>289</v>
      </c>
      <c r="C524" s="19">
        <v>1000000</v>
      </c>
    </row>
    <row r="525" spans="1:3" x14ac:dyDescent="0.25">
      <c r="A525" s="14">
        <v>901657810</v>
      </c>
      <c r="B525" s="11" t="s">
        <v>1127</v>
      </c>
      <c r="C525" s="19">
        <v>1000000</v>
      </c>
    </row>
    <row r="526" spans="1:3" x14ac:dyDescent="0.25">
      <c r="A526" s="14">
        <v>900315777</v>
      </c>
      <c r="B526" s="11" t="s">
        <v>290</v>
      </c>
      <c r="C526" s="19">
        <v>1000000</v>
      </c>
    </row>
    <row r="527" spans="1:3" x14ac:dyDescent="0.25">
      <c r="A527" s="14">
        <v>79101284</v>
      </c>
      <c r="B527" s="11" t="s">
        <v>291</v>
      </c>
      <c r="C527" s="19">
        <v>1000000</v>
      </c>
    </row>
    <row r="528" spans="1:3" x14ac:dyDescent="0.25">
      <c r="A528" s="14">
        <v>371</v>
      </c>
      <c r="B528" s="11" t="s">
        <v>292</v>
      </c>
      <c r="C528" s="19">
        <v>1000000</v>
      </c>
    </row>
    <row r="529" spans="1:3" x14ac:dyDescent="0.25">
      <c r="A529" s="14">
        <v>901595355</v>
      </c>
      <c r="B529" s="11" t="s">
        <v>1128</v>
      </c>
      <c r="C529" s="19">
        <v>0</v>
      </c>
    </row>
    <row r="530" spans="1:3" x14ac:dyDescent="0.25">
      <c r="A530" s="14">
        <v>80402715</v>
      </c>
      <c r="B530" s="11" t="s">
        <v>1129</v>
      </c>
      <c r="C530" s="18">
        <v>1000000</v>
      </c>
    </row>
    <row r="531" spans="1:3" x14ac:dyDescent="0.25">
      <c r="A531" s="14">
        <v>1072663051</v>
      </c>
      <c r="B531" s="11" t="s">
        <v>1066</v>
      </c>
      <c r="C531" s="19">
        <v>0</v>
      </c>
    </row>
    <row r="532" spans="1:3" x14ac:dyDescent="0.25">
      <c r="A532" s="14">
        <v>1030533761</v>
      </c>
      <c r="B532" s="11" t="s">
        <v>293</v>
      </c>
      <c r="C532" s="19">
        <v>1000000</v>
      </c>
    </row>
    <row r="533" spans="1:3" x14ac:dyDescent="0.25">
      <c r="A533" s="14">
        <v>404</v>
      </c>
      <c r="B533" s="11" t="s">
        <v>294</v>
      </c>
      <c r="C533" s="19">
        <v>1000000</v>
      </c>
    </row>
    <row r="534" spans="1:3" x14ac:dyDescent="0.25">
      <c r="A534" s="14">
        <v>1070918005</v>
      </c>
      <c r="B534" s="11" t="s">
        <v>295</v>
      </c>
      <c r="C534" s="19">
        <v>1000000</v>
      </c>
    </row>
    <row r="535" spans="1:3" x14ac:dyDescent="0.25">
      <c r="A535" s="14">
        <v>1070918005</v>
      </c>
      <c r="B535" s="11" t="s">
        <v>295</v>
      </c>
      <c r="C535" s="19">
        <v>1000000</v>
      </c>
    </row>
    <row r="536" spans="1:3" x14ac:dyDescent="0.25">
      <c r="A536" s="14">
        <v>80001418</v>
      </c>
      <c r="B536" s="11" t="s">
        <v>1004</v>
      </c>
      <c r="C536" s="19">
        <v>0</v>
      </c>
    </row>
    <row r="537" spans="1:3" x14ac:dyDescent="0.25">
      <c r="A537" s="14">
        <v>170</v>
      </c>
      <c r="B537" s="11" t="s">
        <v>296</v>
      </c>
      <c r="C537" s="18">
        <v>1000000</v>
      </c>
    </row>
    <row r="538" spans="1:3" x14ac:dyDescent="0.25">
      <c r="A538" s="14">
        <v>1032443078</v>
      </c>
      <c r="B538" s="11" t="s">
        <v>297</v>
      </c>
      <c r="C538" s="19">
        <v>1000000</v>
      </c>
    </row>
    <row r="539" spans="1:3" x14ac:dyDescent="0.25">
      <c r="A539" s="14">
        <v>901228833</v>
      </c>
      <c r="B539" s="11" t="s">
        <v>298</v>
      </c>
      <c r="C539" s="19">
        <v>1000000</v>
      </c>
    </row>
    <row r="540" spans="1:3" x14ac:dyDescent="0.25">
      <c r="A540" s="14">
        <v>900264024</v>
      </c>
      <c r="B540" s="11" t="s">
        <v>1130</v>
      </c>
      <c r="C540" s="18">
        <v>0</v>
      </c>
    </row>
    <row r="541" spans="1:3" x14ac:dyDescent="0.25">
      <c r="A541" s="14">
        <v>901105059</v>
      </c>
      <c r="B541" s="11" t="s">
        <v>299</v>
      </c>
      <c r="C541" s="18">
        <v>1000000</v>
      </c>
    </row>
    <row r="542" spans="1:3" x14ac:dyDescent="0.25">
      <c r="A542" s="14">
        <v>79814311</v>
      </c>
      <c r="B542" s="11" t="s">
        <v>916</v>
      </c>
      <c r="C542" s="19">
        <v>1000000</v>
      </c>
    </row>
    <row r="543" spans="1:3" x14ac:dyDescent="0.25">
      <c r="A543" s="14">
        <v>1019061045</v>
      </c>
      <c r="B543" s="11" t="s">
        <v>917</v>
      </c>
      <c r="C543" s="19">
        <v>2000000</v>
      </c>
    </row>
    <row r="544" spans="1:3" x14ac:dyDescent="0.25">
      <c r="A544" s="14">
        <v>17650465</v>
      </c>
      <c r="B544" s="11" t="s">
        <v>300</v>
      </c>
      <c r="C544" s="19">
        <v>1000000</v>
      </c>
    </row>
    <row r="545" spans="1:3" x14ac:dyDescent="0.25">
      <c r="A545" s="14">
        <v>417</v>
      </c>
      <c r="B545" s="11" t="s">
        <v>301</v>
      </c>
      <c r="C545" s="19">
        <v>1000000</v>
      </c>
    </row>
    <row r="546" spans="1:3" x14ac:dyDescent="0.25">
      <c r="A546" s="14">
        <v>92400775</v>
      </c>
      <c r="B546" s="11" t="s">
        <v>302</v>
      </c>
      <c r="C546" s="18">
        <v>1000000</v>
      </c>
    </row>
    <row r="547" spans="1:3" x14ac:dyDescent="0.25">
      <c r="A547" s="14">
        <v>901123046</v>
      </c>
      <c r="B547" s="11" t="s">
        <v>303</v>
      </c>
      <c r="C547" s="19">
        <v>10000000</v>
      </c>
    </row>
    <row r="548" spans="1:3" x14ac:dyDescent="0.25">
      <c r="A548" s="14">
        <v>830129418</v>
      </c>
      <c r="B548" s="11" t="s">
        <v>304</v>
      </c>
      <c r="C548" s="19">
        <v>1000000</v>
      </c>
    </row>
    <row r="549" spans="1:3" x14ac:dyDescent="0.25">
      <c r="A549" s="14">
        <v>830129418</v>
      </c>
      <c r="B549" s="11" t="s">
        <v>304</v>
      </c>
      <c r="C549" s="19">
        <v>1000000</v>
      </c>
    </row>
    <row r="550" spans="1:3" x14ac:dyDescent="0.25">
      <c r="A550" s="14">
        <v>901658764</v>
      </c>
      <c r="B550" s="11" t="s">
        <v>305</v>
      </c>
      <c r="C550" s="18">
        <v>1000000</v>
      </c>
    </row>
    <row r="551" spans="1:3" x14ac:dyDescent="0.25">
      <c r="A551" s="14">
        <v>422</v>
      </c>
      <c r="B551" s="11" t="s">
        <v>306</v>
      </c>
      <c r="C551" s="19">
        <v>1000000</v>
      </c>
    </row>
    <row r="552" spans="1:3" x14ac:dyDescent="0.25">
      <c r="A552" s="14">
        <v>51847132</v>
      </c>
      <c r="B552" s="11" t="s">
        <v>307</v>
      </c>
      <c r="C552" s="19">
        <v>1000000</v>
      </c>
    </row>
    <row r="553" spans="1:3" x14ac:dyDescent="0.25">
      <c r="A553" s="14">
        <v>901174557</v>
      </c>
      <c r="B553" s="11" t="s">
        <v>308</v>
      </c>
      <c r="C553" s="18">
        <v>1000000</v>
      </c>
    </row>
    <row r="554" spans="1:3" x14ac:dyDescent="0.25">
      <c r="A554" s="14">
        <v>830092062</v>
      </c>
      <c r="B554" s="11" t="s">
        <v>309</v>
      </c>
      <c r="C554" s="18">
        <v>1000000</v>
      </c>
    </row>
    <row r="555" spans="1:3" x14ac:dyDescent="0.25">
      <c r="A555" s="14">
        <v>901365098</v>
      </c>
      <c r="B555" s="11" t="s">
        <v>310</v>
      </c>
      <c r="C555" s="19">
        <v>1000000</v>
      </c>
    </row>
    <row r="556" spans="1:3" x14ac:dyDescent="0.25">
      <c r="A556" s="14">
        <v>901586291</v>
      </c>
      <c r="B556" s="11" t="s">
        <v>1131</v>
      </c>
      <c r="C556" s="19">
        <v>20000000</v>
      </c>
    </row>
    <row r="557" spans="1:3" x14ac:dyDescent="0.25">
      <c r="A557" s="14">
        <v>901586291</v>
      </c>
      <c r="B557" s="11" t="s">
        <v>1131</v>
      </c>
      <c r="C557" s="19">
        <v>20000000</v>
      </c>
    </row>
    <row r="558" spans="1:3" x14ac:dyDescent="0.25">
      <c r="A558" s="14">
        <v>901292835</v>
      </c>
      <c r="B558" s="11" t="s">
        <v>311</v>
      </c>
      <c r="C558" s="18">
        <v>1000000</v>
      </c>
    </row>
    <row r="559" spans="1:3" x14ac:dyDescent="0.25">
      <c r="A559" s="14">
        <v>901223459</v>
      </c>
      <c r="B559" s="11" t="s">
        <v>312</v>
      </c>
      <c r="C559" s="19">
        <v>1000000</v>
      </c>
    </row>
    <row r="560" spans="1:3" x14ac:dyDescent="0.25">
      <c r="A560" s="14">
        <v>901013454</v>
      </c>
      <c r="B560" s="11" t="s">
        <v>313</v>
      </c>
      <c r="C560" s="19">
        <v>1000000</v>
      </c>
    </row>
    <row r="561" spans="1:3" x14ac:dyDescent="0.25">
      <c r="A561" s="14">
        <v>901013454</v>
      </c>
      <c r="B561" s="11" t="s">
        <v>313</v>
      </c>
      <c r="C561" s="19">
        <v>1000000</v>
      </c>
    </row>
    <row r="562" spans="1:3" x14ac:dyDescent="0.25">
      <c r="A562" s="14">
        <v>1030559056</v>
      </c>
      <c r="B562" s="11" t="s">
        <v>314</v>
      </c>
      <c r="C562" s="19">
        <v>1000000</v>
      </c>
    </row>
    <row r="563" spans="1:3" x14ac:dyDescent="0.25">
      <c r="A563" s="14">
        <v>40186132</v>
      </c>
      <c r="B563" s="11" t="s">
        <v>315</v>
      </c>
      <c r="C563" s="19">
        <v>1000000</v>
      </c>
    </row>
    <row r="564" spans="1:3" x14ac:dyDescent="0.25">
      <c r="A564" s="14">
        <v>1055273769</v>
      </c>
      <c r="B564" s="11" t="s">
        <v>316</v>
      </c>
      <c r="C564" s="19">
        <v>1000000</v>
      </c>
    </row>
    <row r="565" spans="1:3" x14ac:dyDescent="0.25">
      <c r="A565" s="14">
        <v>79346168</v>
      </c>
      <c r="B565" s="11" t="s">
        <v>1006</v>
      </c>
      <c r="C565" s="19">
        <v>5000000</v>
      </c>
    </row>
    <row r="566" spans="1:3" x14ac:dyDescent="0.25">
      <c r="A566" s="14">
        <v>1095485431</v>
      </c>
      <c r="B566" s="11" t="s">
        <v>317</v>
      </c>
      <c r="C566" s="18">
        <v>1000000</v>
      </c>
    </row>
    <row r="567" spans="1:3" x14ac:dyDescent="0.25">
      <c r="A567" s="14">
        <v>79170013</v>
      </c>
      <c r="B567" s="11" t="s">
        <v>318</v>
      </c>
      <c r="C567" s="19">
        <v>1000000</v>
      </c>
    </row>
    <row r="568" spans="1:3" x14ac:dyDescent="0.25">
      <c r="A568" s="14">
        <v>372</v>
      </c>
      <c r="B568" s="11" t="s">
        <v>319</v>
      </c>
      <c r="C568" s="19">
        <v>1000000</v>
      </c>
    </row>
    <row r="569" spans="1:3" x14ac:dyDescent="0.25">
      <c r="A569" s="14">
        <v>352</v>
      </c>
      <c r="B569" s="11" t="s">
        <v>320</v>
      </c>
      <c r="C569" s="19">
        <v>1000000</v>
      </c>
    </row>
    <row r="570" spans="1:3" x14ac:dyDescent="0.25">
      <c r="A570" s="14">
        <v>80400284</v>
      </c>
      <c r="B570" s="11" t="s">
        <v>321</v>
      </c>
      <c r="C570" s="19">
        <v>2000000</v>
      </c>
    </row>
    <row r="571" spans="1:3" x14ac:dyDescent="0.25">
      <c r="A571" s="14">
        <v>161</v>
      </c>
      <c r="B571" s="11" t="s">
        <v>1132</v>
      </c>
      <c r="C571" s="19">
        <v>2000000</v>
      </c>
    </row>
    <row r="572" spans="1:3" x14ac:dyDescent="0.25">
      <c r="A572" s="14">
        <v>1026251568</v>
      </c>
      <c r="B572" s="11" t="s">
        <v>322</v>
      </c>
      <c r="C572" s="19">
        <v>1000000</v>
      </c>
    </row>
    <row r="573" spans="1:3" x14ac:dyDescent="0.25">
      <c r="A573" s="14">
        <v>46677892</v>
      </c>
      <c r="B573" s="11" t="s">
        <v>323</v>
      </c>
      <c r="C573" s="19">
        <v>1000000</v>
      </c>
    </row>
    <row r="574" spans="1:3" x14ac:dyDescent="0.25">
      <c r="A574" s="14">
        <v>900704771</v>
      </c>
      <c r="B574" s="11" t="s">
        <v>324</v>
      </c>
      <c r="C574" s="19">
        <v>1000000</v>
      </c>
    </row>
    <row r="575" spans="1:3" x14ac:dyDescent="0.25">
      <c r="A575" s="14">
        <v>900704771</v>
      </c>
      <c r="B575" s="11" t="s">
        <v>324</v>
      </c>
      <c r="C575" s="19">
        <v>1000000</v>
      </c>
    </row>
    <row r="576" spans="1:3" x14ac:dyDescent="0.25">
      <c r="A576" s="14">
        <v>900132299</v>
      </c>
      <c r="B576" s="11" t="s">
        <v>325</v>
      </c>
      <c r="C576" s="18">
        <v>1000000</v>
      </c>
    </row>
    <row r="577" spans="1:3" x14ac:dyDescent="0.25">
      <c r="A577" s="14">
        <v>805000830</v>
      </c>
      <c r="B577" s="11" t="s">
        <v>326</v>
      </c>
      <c r="C577" s="19">
        <v>1000000</v>
      </c>
    </row>
    <row r="578" spans="1:3" x14ac:dyDescent="0.25">
      <c r="A578" s="14">
        <v>830104746</v>
      </c>
      <c r="B578" s="11" t="s">
        <v>327</v>
      </c>
      <c r="C578" s="19">
        <v>10000000</v>
      </c>
    </row>
    <row r="579" spans="1:3" x14ac:dyDescent="0.25">
      <c r="A579" s="14">
        <v>900231070</v>
      </c>
      <c r="B579" s="11" t="s">
        <v>949</v>
      </c>
      <c r="C579" s="19">
        <v>1000000</v>
      </c>
    </row>
    <row r="580" spans="1:3" x14ac:dyDescent="0.25">
      <c r="A580" s="14">
        <v>901109174</v>
      </c>
      <c r="B580" s="11" t="s">
        <v>329</v>
      </c>
      <c r="C580" s="18">
        <v>1000000</v>
      </c>
    </row>
    <row r="581" spans="1:3" x14ac:dyDescent="0.25">
      <c r="A581" s="14">
        <v>901109174</v>
      </c>
      <c r="B581" s="11" t="s">
        <v>329</v>
      </c>
      <c r="C581" s="18">
        <v>1000000</v>
      </c>
    </row>
    <row r="582" spans="1:3" x14ac:dyDescent="0.25">
      <c r="A582" s="14">
        <v>901109174</v>
      </c>
      <c r="B582" s="11" t="s">
        <v>329</v>
      </c>
      <c r="C582" s="18">
        <v>1000000</v>
      </c>
    </row>
    <row r="583" spans="1:3" x14ac:dyDescent="0.25">
      <c r="A583" s="14">
        <v>900016521</v>
      </c>
      <c r="B583" s="11" t="s">
        <v>330</v>
      </c>
      <c r="C583" s="19">
        <v>10000000</v>
      </c>
    </row>
    <row r="584" spans="1:3" x14ac:dyDescent="0.25">
      <c r="A584" s="14">
        <v>900016521</v>
      </c>
      <c r="B584" s="11" t="s">
        <v>330</v>
      </c>
      <c r="C584" s="19">
        <v>10000000</v>
      </c>
    </row>
    <row r="585" spans="1:3" x14ac:dyDescent="0.25">
      <c r="A585" s="14">
        <v>900016521</v>
      </c>
      <c r="B585" s="11" t="s">
        <v>330</v>
      </c>
      <c r="C585" s="19">
        <v>10000000</v>
      </c>
    </row>
    <row r="586" spans="1:3" x14ac:dyDescent="0.25">
      <c r="A586" s="14">
        <v>900016521</v>
      </c>
      <c r="B586" s="11" t="s">
        <v>330</v>
      </c>
      <c r="C586" s="19">
        <v>10000000</v>
      </c>
    </row>
    <row r="587" spans="1:3" x14ac:dyDescent="0.25">
      <c r="A587" s="14">
        <v>900016521</v>
      </c>
      <c r="B587" s="11" t="s">
        <v>330</v>
      </c>
      <c r="C587" s="19">
        <v>10000000</v>
      </c>
    </row>
    <row r="588" spans="1:3" x14ac:dyDescent="0.25">
      <c r="A588" s="14">
        <v>900016521</v>
      </c>
      <c r="B588" s="11" t="s">
        <v>330</v>
      </c>
      <c r="C588" s="19">
        <v>10000000</v>
      </c>
    </row>
    <row r="589" spans="1:3" x14ac:dyDescent="0.25">
      <c r="A589" s="14">
        <v>900016521</v>
      </c>
      <c r="B589" s="11" t="s">
        <v>330</v>
      </c>
      <c r="C589" s="19">
        <v>10000000</v>
      </c>
    </row>
    <row r="590" spans="1:3" x14ac:dyDescent="0.25">
      <c r="A590" s="14">
        <v>900016521</v>
      </c>
      <c r="B590" s="11" t="s">
        <v>330</v>
      </c>
      <c r="C590" s="19">
        <v>10000000</v>
      </c>
    </row>
    <row r="591" spans="1:3" x14ac:dyDescent="0.25">
      <c r="A591" s="14">
        <v>901702079</v>
      </c>
      <c r="B591" s="11" t="s">
        <v>884</v>
      </c>
      <c r="C591" s="19">
        <v>10000000</v>
      </c>
    </row>
    <row r="592" spans="1:3" x14ac:dyDescent="0.25">
      <c r="A592" s="14">
        <v>860006284</v>
      </c>
      <c r="B592" s="11" t="s">
        <v>331</v>
      </c>
      <c r="C592" s="19">
        <v>10000000</v>
      </c>
    </row>
    <row r="593" spans="1:3" x14ac:dyDescent="0.25">
      <c r="A593" s="14">
        <v>830074365</v>
      </c>
      <c r="B593" s="11" t="s">
        <v>332</v>
      </c>
      <c r="C593" s="19">
        <v>10000000</v>
      </c>
    </row>
    <row r="594" spans="1:3" x14ac:dyDescent="0.25">
      <c r="A594" s="14">
        <v>900642279</v>
      </c>
      <c r="B594" s="11" t="s">
        <v>1133</v>
      </c>
      <c r="C594" s="19">
        <v>0</v>
      </c>
    </row>
    <row r="595" spans="1:3" x14ac:dyDescent="0.25">
      <c r="A595" s="14">
        <v>1020438903</v>
      </c>
      <c r="B595" s="11" t="s">
        <v>1134</v>
      </c>
      <c r="C595" s="19">
        <v>1000000</v>
      </c>
    </row>
    <row r="596" spans="1:3" x14ac:dyDescent="0.25">
      <c r="A596" s="14">
        <v>1026306883</v>
      </c>
      <c r="B596" s="11" t="s">
        <v>333</v>
      </c>
      <c r="C596" s="18">
        <v>1000000</v>
      </c>
    </row>
    <row r="597" spans="1:3" x14ac:dyDescent="0.25">
      <c r="A597" s="14">
        <v>901508447</v>
      </c>
      <c r="B597" s="11" t="s">
        <v>334</v>
      </c>
      <c r="C597" s="19">
        <v>1000000</v>
      </c>
    </row>
    <row r="598" spans="1:3" x14ac:dyDescent="0.25">
      <c r="A598" s="14">
        <v>901517643</v>
      </c>
      <c r="B598" s="11" t="s">
        <v>335</v>
      </c>
      <c r="C598" s="18">
        <v>1000000</v>
      </c>
    </row>
    <row r="599" spans="1:3" x14ac:dyDescent="0.25">
      <c r="A599" s="14">
        <v>901403694</v>
      </c>
      <c r="B599" s="11" t="s">
        <v>336</v>
      </c>
      <c r="C599" s="18">
        <v>1000000</v>
      </c>
    </row>
    <row r="600" spans="1:3" x14ac:dyDescent="0.25">
      <c r="A600" s="14">
        <v>830126204</v>
      </c>
      <c r="B600" s="11" t="s">
        <v>337</v>
      </c>
      <c r="C600" s="19">
        <v>120000000</v>
      </c>
    </row>
    <row r="601" spans="1:3" x14ac:dyDescent="0.25">
      <c r="A601" s="14">
        <v>901763412</v>
      </c>
      <c r="B601" s="11" t="s">
        <v>338</v>
      </c>
      <c r="C601" s="19">
        <v>1000000</v>
      </c>
    </row>
    <row r="602" spans="1:3" x14ac:dyDescent="0.25">
      <c r="A602" s="14">
        <v>11437414</v>
      </c>
      <c r="B602" s="11" t="s">
        <v>339</v>
      </c>
      <c r="C602" s="18">
        <v>1000000</v>
      </c>
    </row>
    <row r="603" spans="1:3" x14ac:dyDescent="0.25">
      <c r="A603" s="14">
        <v>333</v>
      </c>
      <c r="B603" s="11" t="s">
        <v>340</v>
      </c>
      <c r="C603" s="19">
        <v>1000000</v>
      </c>
    </row>
    <row r="604" spans="1:3" x14ac:dyDescent="0.25">
      <c r="A604" s="14">
        <v>7127356</v>
      </c>
      <c r="B604" s="11" t="s">
        <v>340</v>
      </c>
      <c r="C604" s="19">
        <v>1000000</v>
      </c>
    </row>
    <row r="605" spans="1:3" x14ac:dyDescent="0.25">
      <c r="A605" s="14">
        <v>79122561</v>
      </c>
      <c r="B605" s="11" t="s">
        <v>341</v>
      </c>
      <c r="C605" s="19">
        <v>1000000</v>
      </c>
    </row>
    <row r="606" spans="1:3" x14ac:dyDescent="0.25">
      <c r="A606" s="14">
        <v>354</v>
      </c>
      <c r="B606" s="11" t="s">
        <v>342</v>
      </c>
      <c r="C606" s="18">
        <v>1000000</v>
      </c>
    </row>
    <row r="607" spans="1:3" x14ac:dyDescent="0.25">
      <c r="A607" s="14">
        <v>410</v>
      </c>
      <c r="B607" s="11" t="s">
        <v>343</v>
      </c>
      <c r="C607" s="19">
        <v>1000000</v>
      </c>
    </row>
    <row r="608" spans="1:3" x14ac:dyDescent="0.25">
      <c r="A608" s="14">
        <v>154</v>
      </c>
      <c r="B608" s="11" t="s">
        <v>344</v>
      </c>
      <c r="C608" s="18">
        <v>1000000</v>
      </c>
    </row>
    <row r="609" spans="1:3" x14ac:dyDescent="0.25">
      <c r="A609" s="14">
        <v>2873454</v>
      </c>
      <c r="B609" s="11" t="s">
        <v>345</v>
      </c>
      <c r="C609" s="19">
        <v>5000000</v>
      </c>
    </row>
    <row r="610" spans="1:3" x14ac:dyDescent="0.25">
      <c r="A610" s="14">
        <v>367</v>
      </c>
      <c r="B610" s="11" t="s">
        <v>346</v>
      </c>
      <c r="C610" s="19">
        <v>1000000</v>
      </c>
    </row>
    <row r="611" spans="1:3" x14ac:dyDescent="0.25">
      <c r="A611" s="14">
        <v>79459598</v>
      </c>
      <c r="B611" s="11" t="s">
        <v>347</v>
      </c>
      <c r="C611" s="18">
        <v>1000000</v>
      </c>
    </row>
    <row r="612" spans="1:3" x14ac:dyDescent="0.25">
      <c r="A612" s="14">
        <v>321692</v>
      </c>
      <c r="B612" s="11" t="s">
        <v>348</v>
      </c>
      <c r="C612" s="18">
        <v>1000000</v>
      </c>
    </row>
    <row r="613" spans="1:3" x14ac:dyDescent="0.25">
      <c r="A613" s="14">
        <v>1121921546</v>
      </c>
      <c r="B613" s="11" t="s">
        <v>891</v>
      </c>
      <c r="C613" s="19">
        <v>1000000</v>
      </c>
    </row>
    <row r="614" spans="1:3" x14ac:dyDescent="0.25">
      <c r="A614" s="14">
        <v>52779437</v>
      </c>
      <c r="B614" s="11" t="s">
        <v>349</v>
      </c>
      <c r="C614" s="18">
        <v>1000000</v>
      </c>
    </row>
    <row r="615" spans="1:3" x14ac:dyDescent="0.25">
      <c r="A615" s="14">
        <v>132</v>
      </c>
      <c r="B615" s="11" t="s">
        <v>350</v>
      </c>
      <c r="C615" s="18">
        <v>1000000</v>
      </c>
    </row>
    <row r="616" spans="1:3" x14ac:dyDescent="0.25">
      <c r="A616" s="14">
        <v>1110088729</v>
      </c>
      <c r="B616" s="11" t="s">
        <v>1135</v>
      </c>
      <c r="C616" s="19">
        <v>2000000</v>
      </c>
    </row>
    <row r="617" spans="1:3" x14ac:dyDescent="0.25">
      <c r="A617" s="14">
        <v>35318637</v>
      </c>
      <c r="B617" s="11" t="s">
        <v>897</v>
      </c>
      <c r="C617" s="19">
        <v>0</v>
      </c>
    </row>
    <row r="618" spans="1:3" x14ac:dyDescent="0.25">
      <c r="A618" s="14">
        <v>53047665</v>
      </c>
      <c r="B618" s="11" t="s">
        <v>351</v>
      </c>
      <c r="C618" s="18">
        <v>1000000</v>
      </c>
    </row>
    <row r="619" spans="1:3" x14ac:dyDescent="0.25">
      <c r="A619" s="14">
        <v>830012863</v>
      </c>
      <c r="B619" s="11" t="s">
        <v>811</v>
      </c>
      <c r="C619" s="19">
        <v>25000000</v>
      </c>
    </row>
    <row r="620" spans="1:3" x14ac:dyDescent="0.25">
      <c r="A620" s="14">
        <v>830012863</v>
      </c>
      <c r="B620" s="11" t="s">
        <v>811</v>
      </c>
      <c r="C620" s="19">
        <v>25000000</v>
      </c>
    </row>
    <row r="621" spans="1:3" x14ac:dyDescent="0.25">
      <c r="A621" s="14">
        <v>830012863</v>
      </c>
      <c r="B621" s="11" t="s">
        <v>811</v>
      </c>
      <c r="C621" s="19">
        <v>25000000</v>
      </c>
    </row>
    <row r="622" spans="1:3" x14ac:dyDescent="0.25">
      <c r="A622" s="14">
        <v>830012863</v>
      </c>
      <c r="B622" s="11" t="s">
        <v>811</v>
      </c>
      <c r="C622" s="19">
        <v>25000000</v>
      </c>
    </row>
    <row r="623" spans="1:3" x14ac:dyDescent="0.25">
      <c r="A623" s="14">
        <v>901262347</v>
      </c>
      <c r="B623" s="11" t="s">
        <v>352</v>
      </c>
      <c r="C623" s="19">
        <v>1000000</v>
      </c>
    </row>
    <row r="624" spans="1:3" x14ac:dyDescent="0.25">
      <c r="A624" s="14">
        <v>901262347</v>
      </c>
      <c r="B624" s="11" t="s">
        <v>352</v>
      </c>
      <c r="C624" s="19">
        <v>1000000</v>
      </c>
    </row>
    <row r="625" spans="1:3" x14ac:dyDescent="0.25">
      <c r="A625" s="14">
        <v>19480903</v>
      </c>
      <c r="B625" s="11" t="s">
        <v>951</v>
      </c>
      <c r="C625" s="19">
        <v>0</v>
      </c>
    </row>
    <row r="626" spans="1:3" x14ac:dyDescent="0.25">
      <c r="A626" s="14">
        <v>91222101</v>
      </c>
      <c r="B626" s="11" t="s">
        <v>918</v>
      </c>
      <c r="C626" s="19">
        <v>1000000</v>
      </c>
    </row>
    <row r="627" spans="1:3" x14ac:dyDescent="0.25">
      <c r="A627" s="14">
        <v>79280753</v>
      </c>
      <c r="B627" s="11" t="s">
        <v>353</v>
      </c>
      <c r="C627" s="19">
        <v>10000000</v>
      </c>
    </row>
    <row r="628" spans="1:3" x14ac:dyDescent="0.25">
      <c r="A628" s="14">
        <v>900433145</v>
      </c>
      <c r="B628" s="11" t="s">
        <v>354</v>
      </c>
      <c r="C628" s="19">
        <v>10000000</v>
      </c>
    </row>
    <row r="629" spans="1:3" x14ac:dyDescent="0.25">
      <c r="A629" s="14">
        <v>901693726</v>
      </c>
      <c r="B629" s="11" t="s">
        <v>355</v>
      </c>
      <c r="C629" s="18">
        <v>1000000</v>
      </c>
    </row>
    <row r="630" spans="1:3" x14ac:dyDescent="0.25">
      <c r="A630" s="14">
        <v>901433440</v>
      </c>
      <c r="B630" s="11" t="s">
        <v>356</v>
      </c>
      <c r="C630" s="19">
        <v>1000000</v>
      </c>
    </row>
    <row r="631" spans="1:3" x14ac:dyDescent="0.25">
      <c r="A631" s="14">
        <v>901433440</v>
      </c>
      <c r="B631" s="11" t="s">
        <v>356</v>
      </c>
      <c r="C631" s="19">
        <v>1000000</v>
      </c>
    </row>
    <row r="632" spans="1:3" x14ac:dyDescent="0.25">
      <c r="A632" s="14">
        <v>830507165</v>
      </c>
      <c r="B632" s="11" t="s">
        <v>357</v>
      </c>
      <c r="C632" s="19">
        <v>3000000</v>
      </c>
    </row>
    <row r="633" spans="1:3" x14ac:dyDescent="0.25">
      <c r="A633" s="14">
        <v>830507165</v>
      </c>
      <c r="B633" s="11" t="s">
        <v>357</v>
      </c>
      <c r="C633" s="19">
        <v>3000000</v>
      </c>
    </row>
    <row r="634" spans="1:3" x14ac:dyDescent="0.25">
      <c r="A634" s="14">
        <v>830507165</v>
      </c>
      <c r="B634" s="11" t="s">
        <v>357</v>
      </c>
      <c r="C634" s="19">
        <v>3000000</v>
      </c>
    </row>
    <row r="635" spans="1:3" x14ac:dyDescent="0.25">
      <c r="A635" s="14">
        <v>830507165</v>
      </c>
      <c r="B635" s="11" t="s">
        <v>357</v>
      </c>
      <c r="C635" s="19">
        <v>3000000</v>
      </c>
    </row>
    <row r="636" spans="1:3" x14ac:dyDescent="0.25">
      <c r="A636" s="14">
        <v>900561233</v>
      </c>
      <c r="B636" s="11" t="s">
        <v>358</v>
      </c>
      <c r="C636" s="19">
        <v>600000000</v>
      </c>
    </row>
    <row r="637" spans="1:3" x14ac:dyDescent="0.25">
      <c r="A637" s="14">
        <v>900561233</v>
      </c>
      <c r="B637" s="11" t="s">
        <v>358</v>
      </c>
      <c r="C637" s="19">
        <v>600000000</v>
      </c>
    </row>
    <row r="638" spans="1:3" x14ac:dyDescent="0.25">
      <c r="A638" s="14">
        <v>900561233</v>
      </c>
      <c r="B638" s="11" t="s">
        <v>358</v>
      </c>
      <c r="C638" s="19">
        <v>600000000</v>
      </c>
    </row>
    <row r="639" spans="1:3" x14ac:dyDescent="0.25">
      <c r="A639" s="14">
        <v>900561233</v>
      </c>
      <c r="B639" s="11" t="s">
        <v>358</v>
      </c>
      <c r="C639" s="19">
        <v>600000000</v>
      </c>
    </row>
    <row r="640" spans="1:3" x14ac:dyDescent="0.25">
      <c r="A640" s="14">
        <v>900561233</v>
      </c>
      <c r="B640" s="11" t="s">
        <v>358</v>
      </c>
      <c r="C640" s="19">
        <v>600000000</v>
      </c>
    </row>
    <row r="641" spans="1:3" x14ac:dyDescent="0.25">
      <c r="A641" s="14">
        <v>900561233</v>
      </c>
      <c r="B641" s="11" t="s">
        <v>358</v>
      </c>
      <c r="C641" s="19">
        <v>600000000</v>
      </c>
    </row>
    <row r="642" spans="1:3" x14ac:dyDescent="0.25">
      <c r="A642" s="14">
        <v>900561233</v>
      </c>
      <c r="B642" s="11" t="s">
        <v>358</v>
      </c>
      <c r="C642" s="19">
        <v>600000000</v>
      </c>
    </row>
    <row r="643" spans="1:3" x14ac:dyDescent="0.25">
      <c r="A643" s="14">
        <v>900995386</v>
      </c>
      <c r="B643" s="11" t="s">
        <v>1136</v>
      </c>
      <c r="C643" s="18">
        <v>1000000</v>
      </c>
    </row>
    <row r="644" spans="1:3" x14ac:dyDescent="0.25">
      <c r="A644" s="14">
        <v>901258241</v>
      </c>
      <c r="B644" s="11" t="s">
        <v>359</v>
      </c>
      <c r="C644" s="18">
        <v>1000000</v>
      </c>
    </row>
    <row r="645" spans="1:3" x14ac:dyDescent="0.25">
      <c r="A645" s="14">
        <v>901583800</v>
      </c>
      <c r="B645" s="11" t="s">
        <v>360</v>
      </c>
      <c r="C645" s="19">
        <v>1000000</v>
      </c>
    </row>
    <row r="646" spans="1:3" x14ac:dyDescent="0.25">
      <c r="A646" s="14">
        <v>900009884</v>
      </c>
      <c r="B646" s="11" t="s">
        <v>908</v>
      </c>
      <c r="C646" s="19">
        <v>500000</v>
      </c>
    </row>
    <row r="647" spans="1:3" x14ac:dyDescent="0.25">
      <c r="A647" s="14">
        <v>901139815</v>
      </c>
      <c r="B647" s="11" t="s">
        <v>1137</v>
      </c>
      <c r="C647" s="19">
        <v>0</v>
      </c>
    </row>
    <row r="648" spans="1:3" x14ac:dyDescent="0.25">
      <c r="A648" s="14">
        <v>900482772</v>
      </c>
      <c r="B648" s="11" t="s">
        <v>1138</v>
      </c>
      <c r="C648" s="18">
        <v>1000000</v>
      </c>
    </row>
    <row r="649" spans="1:3" x14ac:dyDescent="0.25">
      <c r="A649" s="14">
        <v>901413766</v>
      </c>
      <c r="B649" s="11" t="s">
        <v>903</v>
      </c>
      <c r="C649" s="19">
        <v>1000000</v>
      </c>
    </row>
    <row r="650" spans="1:3" x14ac:dyDescent="0.25">
      <c r="A650" s="14">
        <v>901163871</v>
      </c>
      <c r="B650" s="11" t="s">
        <v>807</v>
      </c>
      <c r="C650" s="19">
        <v>10000000</v>
      </c>
    </row>
    <row r="651" spans="1:3" x14ac:dyDescent="0.25">
      <c r="A651" s="14">
        <v>901392111</v>
      </c>
      <c r="B651" s="11" t="s">
        <v>361</v>
      </c>
      <c r="C651" s="18">
        <v>1000000</v>
      </c>
    </row>
    <row r="652" spans="1:3" x14ac:dyDescent="0.25">
      <c r="A652" s="14">
        <v>101</v>
      </c>
      <c r="B652" s="11" t="s">
        <v>1139</v>
      </c>
      <c r="C652" s="18">
        <v>1000000</v>
      </c>
    </row>
    <row r="653" spans="1:3" x14ac:dyDescent="0.25">
      <c r="A653" s="14">
        <v>800009632</v>
      </c>
      <c r="B653" s="11" t="s">
        <v>362</v>
      </c>
      <c r="C653" s="18">
        <v>1000000</v>
      </c>
    </row>
    <row r="654" spans="1:3" x14ac:dyDescent="0.25">
      <c r="A654" s="14">
        <v>901004464</v>
      </c>
      <c r="B654" s="11" t="s">
        <v>363</v>
      </c>
      <c r="C654" s="19">
        <v>1000000</v>
      </c>
    </row>
    <row r="655" spans="1:3" x14ac:dyDescent="0.25">
      <c r="A655" s="14">
        <v>901004464</v>
      </c>
      <c r="B655" s="11" t="s">
        <v>363</v>
      </c>
      <c r="C655" s="19">
        <v>1000000</v>
      </c>
    </row>
    <row r="656" spans="1:3" x14ac:dyDescent="0.25">
      <c r="A656" s="14">
        <v>900939786</v>
      </c>
      <c r="B656" s="11" t="s">
        <v>364</v>
      </c>
      <c r="C656" s="18">
        <v>1000000</v>
      </c>
    </row>
    <row r="657" spans="1:3" x14ac:dyDescent="0.25">
      <c r="A657" s="14">
        <v>900939786</v>
      </c>
      <c r="B657" s="11" t="s">
        <v>364</v>
      </c>
      <c r="C657" s="18">
        <v>1000000</v>
      </c>
    </row>
    <row r="658" spans="1:3" x14ac:dyDescent="0.25">
      <c r="A658" s="14">
        <v>901326511</v>
      </c>
      <c r="B658" s="11" t="s">
        <v>365</v>
      </c>
      <c r="C658" s="19">
        <v>2000000</v>
      </c>
    </row>
    <row r="659" spans="1:3" x14ac:dyDescent="0.25">
      <c r="A659" s="14">
        <v>901786098</v>
      </c>
      <c r="B659" s="11" t="s">
        <v>872</v>
      </c>
      <c r="C659" s="19">
        <v>5000000</v>
      </c>
    </row>
    <row r="660" spans="1:3" x14ac:dyDescent="0.25">
      <c r="A660" s="14">
        <v>5693670</v>
      </c>
      <c r="B660" s="11" t="s">
        <v>919</v>
      </c>
      <c r="C660" s="19">
        <v>1000000</v>
      </c>
    </row>
    <row r="661" spans="1:3" x14ac:dyDescent="0.25">
      <c r="A661" s="14">
        <v>901694113</v>
      </c>
      <c r="B661" s="11" t="s">
        <v>1008</v>
      </c>
      <c r="C661" s="19">
        <v>10000000</v>
      </c>
    </row>
    <row r="662" spans="1:3" x14ac:dyDescent="0.25">
      <c r="A662" s="14">
        <v>80793995</v>
      </c>
      <c r="B662" s="11" t="s">
        <v>366</v>
      </c>
      <c r="C662" s="19">
        <v>1000000</v>
      </c>
    </row>
    <row r="663" spans="1:3" x14ac:dyDescent="0.25">
      <c r="A663" s="14">
        <v>901881373</v>
      </c>
      <c r="B663" s="11" t="s">
        <v>905</v>
      </c>
      <c r="C663" s="19">
        <v>2000000</v>
      </c>
    </row>
    <row r="664" spans="1:3" x14ac:dyDescent="0.25">
      <c r="A664" s="14">
        <v>901881373</v>
      </c>
      <c r="B664" s="11" t="s">
        <v>905</v>
      </c>
      <c r="C664" s="19">
        <v>2000000</v>
      </c>
    </row>
    <row r="665" spans="1:3" x14ac:dyDescent="0.25">
      <c r="A665" s="14">
        <v>4179965</v>
      </c>
      <c r="B665" s="11" t="s">
        <v>367</v>
      </c>
      <c r="C665" s="19">
        <v>1000000</v>
      </c>
    </row>
    <row r="666" spans="1:3" x14ac:dyDescent="0.25">
      <c r="A666" s="14">
        <v>79486810</v>
      </c>
      <c r="B666" s="11" t="s">
        <v>861</v>
      </c>
      <c r="C666" s="19">
        <v>0</v>
      </c>
    </row>
    <row r="667" spans="1:3" x14ac:dyDescent="0.25">
      <c r="A667" s="14">
        <v>79486810</v>
      </c>
      <c r="B667" s="11" t="s">
        <v>861</v>
      </c>
      <c r="C667" s="19">
        <v>0</v>
      </c>
    </row>
    <row r="668" spans="1:3" x14ac:dyDescent="0.25">
      <c r="A668" s="14">
        <v>79486810</v>
      </c>
      <c r="B668" s="11" t="s">
        <v>861</v>
      </c>
      <c r="C668" s="19">
        <v>0</v>
      </c>
    </row>
    <row r="669" spans="1:3" x14ac:dyDescent="0.25">
      <c r="A669" s="14">
        <v>130</v>
      </c>
      <c r="B669" s="11" t="s">
        <v>368</v>
      </c>
      <c r="C669" s="18">
        <v>1000000</v>
      </c>
    </row>
    <row r="670" spans="1:3" x14ac:dyDescent="0.25">
      <c r="A670" s="14">
        <v>17388752</v>
      </c>
      <c r="B670" s="11" t="s">
        <v>369</v>
      </c>
      <c r="C670" s="18">
        <v>1000000</v>
      </c>
    </row>
    <row r="671" spans="1:3" x14ac:dyDescent="0.25">
      <c r="A671" s="14">
        <v>223</v>
      </c>
      <c r="B671" s="11" t="s">
        <v>370</v>
      </c>
      <c r="C671" s="19">
        <v>1000000</v>
      </c>
    </row>
    <row r="672" spans="1:3" x14ac:dyDescent="0.25">
      <c r="A672" s="14">
        <v>79464418</v>
      </c>
      <c r="B672" s="11" t="s">
        <v>1140</v>
      </c>
      <c r="C672" s="19">
        <v>1000000</v>
      </c>
    </row>
    <row r="673" spans="1:3" x14ac:dyDescent="0.25">
      <c r="A673" s="14">
        <v>74301131</v>
      </c>
      <c r="B673" s="11" t="s">
        <v>1141</v>
      </c>
      <c r="C673" s="18">
        <v>1000000</v>
      </c>
    </row>
    <row r="674" spans="1:3" x14ac:dyDescent="0.25">
      <c r="A674" s="14">
        <v>4099915</v>
      </c>
      <c r="B674" s="11" t="s">
        <v>920</v>
      </c>
      <c r="C674" s="19">
        <v>1000000</v>
      </c>
    </row>
    <row r="675" spans="1:3" x14ac:dyDescent="0.25">
      <c r="A675" s="14">
        <v>421</v>
      </c>
      <c r="B675" s="11" t="s">
        <v>371</v>
      </c>
      <c r="C675" s="19">
        <v>1000000</v>
      </c>
    </row>
    <row r="676" spans="1:3" x14ac:dyDescent="0.25">
      <c r="A676" s="14">
        <v>900556971</v>
      </c>
      <c r="B676" s="11" t="s">
        <v>1142</v>
      </c>
      <c r="C676" s="19">
        <v>20000000</v>
      </c>
    </row>
    <row r="677" spans="1:3" x14ac:dyDescent="0.25">
      <c r="A677" s="14">
        <v>860015937</v>
      </c>
      <c r="B677" s="11" t="s">
        <v>372</v>
      </c>
      <c r="C677" s="19">
        <v>1000000</v>
      </c>
    </row>
    <row r="678" spans="1:3" x14ac:dyDescent="0.25">
      <c r="A678" s="14">
        <v>830048419</v>
      </c>
      <c r="B678" s="11" t="s">
        <v>373</v>
      </c>
      <c r="C678" s="18">
        <v>1000000</v>
      </c>
    </row>
    <row r="679" spans="1:3" x14ac:dyDescent="0.25">
      <c r="A679" s="14">
        <v>4287959</v>
      </c>
      <c r="B679" s="11" t="s">
        <v>1067</v>
      </c>
      <c r="C679" s="19">
        <v>0</v>
      </c>
    </row>
    <row r="680" spans="1:3" x14ac:dyDescent="0.25">
      <c r="A680" s="14">
        <v>900162758</v>
      </c>
      <c r="B680" s="11" t="s">
        <v>374</v>
      </c>
      <c r="C680" s="18">
        <v>1000000</v>
      </c>
    </row>
    <row r="681" spans="1:3" x14ac:dyDescent="0.25">
      <c r="A681" s="14">
        <v>128</v>
      </c>
      <c r="B681" s="11" t="s">
        <v>375</v>
      </c>
      <c r="C681" s="18">
        <v>1000000</v>
      </c>
    </row>
    <row r="682" spans="1:3" x14ac:dyDescent="0.25">
      <c r="A682" s="14">
        <v>425</v>
      </c>
      <c r="B682" s="11" t="s">
        <v>376</v>
      </c>
      <c r="C682" s="19">
        <v>1000000</v>
      </c>
    </row>
    <row r="683" spans="1:3" x14ac:dyDescent="0.25">
      <c r="A683" s="14">
        <v>901108225</v>
      </c>
      <c r="B683" s="11" t="s">
        <v>377</v>
      </c>
      <c r="C683" s="19">
        <v>1000000</v>
      </c>
    </row>
    <row r="684" spans="1:3" x14ac:dyDescent="0.25">
      <c r="A684" s="14">
        <v>901195189</v>
      </c>
      <c r="B684" s="11" t="s">
        <v>378</v>
      </c>
      <c r="C684" s="19">
        <v>1000000</v>
      </c>
    </row>
    <row r="685" spans="1:3" x14ac:dyDescent="0.25">
      <c r="A685" s="14">
        <v>901037772</v>
      </c>
      <c r="B685" s="11" t="s">
        <v>379</v>
      </c>
      <c r="C685" s="18">
        <v>1000000</v>
      </c>
    </row>
    <row r="686" spans="1:3" x14ac:dyDescent="0.25">
      <c r="A686" s="14">
        <v>860039586</v>
      </c>
      <c r="B686" s="11" t="s">
        <v>1143</v>
      </c>
      <c r="C686" s="19">
        <v>1000000</v>
      </c>
    </row>
    <row r="687" spans="1:3" x14ac:dyDescent="0.25">
      <c r="A687" s="14">
        <v>860039586</v>
      </c>
      <c r="B687" s="11" t="s">
        <v>1143</v>
      </c>
      <c r="C687" s="19">
        <v>1000000</v>
      </c>
    </row>
    <row r="688" spans="1:3" x14ac:dyDescent="0.25">
      <c r="A688" s="14">
        <v>900994027</v>
      </c>
      <c r="B688" s="11" t="s">
        <v>1144</v>
      </c>
      <c r="C688" s="18">
        <v>1000000</v>
      </c>
    </row>
    <row r="689" spans="1:3" x14ac:dyDescent="0.25">
      <c r="A689" s="14">
        <v>816004349</v>
      </c>
      <c r="B689" s="11" t="s">
        <v>825</v>
      </c>
      <c r="C689" s="19">
        <v>1000000</v>
      </c>
    </row>
    <row r="690" spans="1:3" x14ac:dyDescent="0.25">
      <c r="A690" s="14">
        <v>800058242</v>
      </c>
      <c r="B690" s="11" t="s">
        <v>380</v>
      </c>
      <c r="C690" s="19">
        <v>50000000</v>
      </c>
    </row>
    <row r="691" spans="1:3" x14ac:dyDescent="0.25">
      <c r="A691" s="14">
        <v>830055363</v>
      </c>
      <c r="B691" s="11" t="s">
        <v>953</v>
      </c>
      <c r="C691" s="19">
        <v>10000000</v>
      </c>
    </row>
    <row r="692" spans="1:3" x14ac:dyDescent="0.25">
      <c r="A692" s="14">
        <v>901176653</v>
      </c>
      <c r="B692" s="11" t="s">
        <v>381</v>
      </c>
      <c r="C692" s="19">
        <v>3000000</v>
      </c>
    </row>
    <row r="693" spans="1:3" x14ac:dyDescent="0.25">
      <c r="A693" s="14">
        <v>800059631</v>
      </c>
      <c r="B693" s="11" t="s">
        <v>382</v>
      </c>
      <c r="C693" s="19">
        <v>5000000</v>
      </c>
    </row>
    <row r="694" spans="1:3" x14ac:dyDescent="0.25">
      <c r="A694" s="14">
        <v>900831406</v>
      </c>
      <c r="B694" s="11" t="s">
        <v>1145</v>
      </c>
      <c r="C694" s="18">
        <v>1000000</v>
      </c>
    </row>
    <row r="695" spans="1:3" x14ac:dyDescent="0.25">
      <c r="A695" s="14">
        <v>900072852</v>
      </c>
      <c r="B695" s="11" t="s">
        <v>383</v>
      </c>
      <c r="C695" s="18">
        <v>1000000</v>
      </c>
    </row>
    <row r="696" spans="1:3" x14ac:dyDescent="0.25">
      <c r="A696" s="14">
        <v>900957216</v>
      </c>
      <c r="B696" s="11" t="s">
        <v>384</v>
      </c>
      <c r="C696" s="19">
        <v>10000000</v>
      </c>
    </row>
    <row r="697" spans="1:3" x14ac:dyDescent="0.25">
      <c r="A697" s="14">
        <v>900957216</v>
      </c>
      <c r="B697" s="11" t="s">
        <v>384</v>
      </c>
      <c r="C697" s="19">
        <v>10000000</v>
      </c>
    </row>
    <row r="698" spans="1:3" x14ac:dyDescent="0.25">
      <c r="A698" s="14">
        <v>900957216</v>
      </c>
      <c r="B698" s="11" t="s">
        <v>384</v>
      </c>
      <c r="C698" s="19">
        <v>10000000</v>
      </c>
    </row>
    <row r="699" spans="1:3" x14ac:dyDescent="0.25">
      <c r="A699" s="14">
        <v>900140285</v>
      </c>
      <c r="B699" s="11" t="s">
        <v>385</v>
      </c>
      <c r="C699" s="18">
        <v>1000000</v>
      </c>
    </row>
    <row r="700" spans="1:3" x14ac:dyDescent="0.25">
      <c r="A700" s="14">
        <v>901514886</v>
      </c>
      <c r="B700" s="11" t="s">
        <v>386</v>
      </c>
      <c r="C700" s="18">
        <v>1000000</v>
      </c>
    </row>
    <row r="701" spans="1:3" x14ac:dyDescent="0.25">
      <c r="A701" s="14">
        <v>901060411</v>
      </c>
      <c r="B701" s="11" t="s">
        <v>387</v>
      </c>
      <c r="C701" s="19">
        <v>1000000</v>
      </c>
    </row>
    <row r="702" spans="1:3" x14ac:dyDescent="0.25">
      <c r="A702" s="14">
        <v>901399676</v>
      </c>
      <c r="B702" s="11" t="s">
        <v>388</v>
      </c>
      <c r="C702" s="19">
        <v>20000000</v>
      </c>
    </row>
    <row r="703" spans="1:3" x14ac:dyDescent="0.25">
      <c r="A703" s="14">
        <v>901399676</v>
      </c>
      <c r="B703" s="11" t="s">
        <v>388</v>
      </c>
      <c r="C703" s="19">
        <v>20000000</v>
      </c>
    </row>
    <row r="704" spans="1:3" x14ac:dyDescent="0.25">
      <c r="A704" s="14">
        <v>901399676</v>
      </c>
      <c r="B704" s="11" t="s">
        <v>388</v>
      </c>
      <c r="C704" s="19">
        <v>20000000</v>
      </c>
    </row>
    <row r="705" spans="1:3" x14ac:dyDescent="0.25">
      <c r="A705" s="14">
        <v>901399676</v>
      </c>
      <c r="B705" s="11" t="s">
        <v>388</v>
      </c>
      <c r="C705" s="19">
        <v>20000000</v>
      </c>
    </row>
    <row r="706" spans="1:3" x14ac:dyDescent="0.25">
      <c r="A706" s="14">
        <v>901399676</v>
      </c>
      <c r="B706" s="11" t="s">
        <v>388</v>
      </c>
      <c r="C706" s="19">
        <v>20000000</v>
      </c>
    </row>
    <row r="707" spans="1:3" x14ac:dyDescent="0.25">
      <c r="A707" s="14">
        <v>901399676</v>
      </c>
      <c r="B707" s="11" t="s">
        <v>388</v>
      </c>
      <c r="C707" s="19">
        <v>20000000</v>
      </c>
    </row>
    <row r="708" spans="1:3" x14ac:dyDescent="0.25">
      <c r="A708" s="14">
        <v>901399676</v>
      </c>
      <c r="B708" s="11" t="s">
        <v>388</v>
      </c>
      <c r="C708" s="19">
        <v>20000000</v>
      </c>
    </row>
    <row r="709" spans="1:3" x14ac:dyDescent="0.25">
      <c r="A709" s="14">
        <v>901521921</v>
      </c>
      <c r="B709" s="11" t="s">
        <v>389</v>
      </c>
      <c r="C709" s="19">
        <v>13000000</v>
      </c>
    </row>
    <row r="710" spans="1:3" x14ac:dyDescent="0.25">
      <c r="A710" s="14">
        <v>901521921</v>
      </c>
      <c r="B710" s="11" t="s">
        <v>389</v>
      </c>
      <c r="C710" s="19">
        <v>13000000</v>
      </c>
    </row>
    <row r="711" spans="1:3" x14ac:dyDescent="0.25">
      <c r="A711" s="14">
        <v>901633939</v>
      </c>
      <c r="B711" s="11" t="s">
        <v>390</v>
      </c>
      <c r="C711" s="19">
        <v>1000000</v>
      </c>
    </row>
    <row r="712" spans="1:3" x14ac:dyDescent="0.25">
      <c r="A712" s="14">
        <v>900214079</v>
      </c>
      <c r="B712" s="11" t="s">
        <v>391</v>
      </c>
      <c r="C712" s="18">
        <v>1000000</v>
      </c>
    </row>
    <row r="713" spans="1:3" x14ac:dyDescent="0.25">
      <c r="A713" s="14">
        <v>900214479</v>
      </c>
      <c r="B713" s="11" t="s">
        <v>391</v>
      </c>
      <c r="C713" s="18">
        <v>1000000</v>
      </c>
    </row>
    <row r="714" spans="1:3" x14ac:dyDescent="0.25">
      <c r="A714" s="14">
        <v>800038270</v>
      </c>
      <c r="B714" s="11" t="s">
        <v>392</v>
      </c>
      <c r="C714" s="19">
        <v>1000000</v>
      </c>
    </row>
    <row r="715" spans="1:3" x14ac:dyDescent="0.25">
      <c r="A715" s="14">
        <v>900130706</v>
      </c>
      <c r="B715" s="11" t="s">
        <v>393</v>
      </c>
      <c r="C715" s="18">
        <v>1000000</v>
      </c>
    </row>
    <row r="716" spans="1:3" x14ac:dyDescent="0.25">
      <c r="A716" s="14">
        <v>900933984</v>
      </c>
      <c r="B716" s="11" t="s">
        <v>394</v>
      </c>
      <c r="C716" s="19">
        <v>1000000</v>
      </c>
    </row>
    <row r="717" spans="1:3" x14ac:dyDescent="0.25">
      <c r="A717" s="14">
        <v>901494655</v>
      </c>
      <c r="B717" s="11" t="s">
        <v>395</v>
      </c>
      <c r="C717" s="18">
        <v>1000000</v>
      </c>
    </row>
    <row r="718" spans="1:3" x14ac:dyDescent="0.25">
      <c r="A718" s="14">
        <v>830115239</v>
      </c>
      <c r="B718" s="11" t="s">
        <v>396</v>
      </c>
      <c r="C718" s="19">
        <v>120000000</v>
      </c>
    </row>
    <row r="719" spans="1:3" x14ac:dyDescent="0.25">
      <c r="A719" s="14">
        <v>891856457</v>
      </c>
      <c r="B719" s="11" t="s">
        <v>398</v>
      </c>
      <c r="C719" s="18">
        <v>1000000</v>
      </c>
    </row>
    <row r="720" spans="1:3" x14ac:dyDescent="0.25">
      <c r="A720" s="14">
        <v>900663351</v>
      </c>
      <c r="B720" s="11" t="s">
        <v>921</v>
      </c>
      <c r="C720" s="19">
        <v>500000000</v>
      </c>
    </row>
    <row r="721" spans="1:3" x14ac:dyDescent="0.25">
      <c r="A721" s="14">
        <v>900663351</v>
      </c>
      <c r="B721" s="11" t="s">
        <v>921</v>
      </c>
      <c r="C721" s="19">
        <v>500000000</v>
      </c>
    </row>
    <row r="722" spans="1:3" x14ac:dyDescent="0.25">
      <c r="A722" s="14">
        <v>901815516</v>
      </c>
      <c r="B722" s="11" t="s">
        <v>898</v>
      </c>
      <c r="C722" s="19">
        <v>20000000</v>
      </c>
    </row>
    <row r="723" spans="1:3" x14ac:dyDescent="0.25">
      <c r="A723" s="14">
        <v>900675420</v>
      </c>
      <c r="B723" s="11" t="s">
        <v>399</v>
      </c>
      <c r="C723" s="19">
        <v>1000000</v>
      </c>
    </row>
    <row r="724" spans="1:3" x14ac:dyDescent="0.25">
      <c r="A724" s="14">
        <v>901354603</v>
      </c>
      <c r="B724" s="11" t="s">
        <v>400</v>
      </c>
      <c r="C724" s="18">
        <v>1000000</v>
      </c>
    </row>
    <row r="725" spans="1:3" x14ac:dyDescent="0.25">
      <c r="A725" s="14">
        <v>901494828</v>
      </c>
      <c r="B725" s="11" t="s">
        <v>401</v>
      </c>
      <c r="C725" s="19">
        <v>1000000</v>
      </c>
    </row>
    <row r="726" spans="1:3" x14ac:dyDescent="0.25">
      <c r="A726" s="14">
        <v>901494828</v>
      </c>
      <c r="B726" s="11" t="s">
        <v>401</v>
      </c>
      <c r="C726" s="19">
        <v>1000000</v>
      </c>
    </row>
    <row r="727" spans="1:3" x14ac:dyDescent="0.25">
      <c r="A727" s="14">
        <v>901494828</v>
      </c>
      <c r="B727" s="11" t="s">
        <v>401</v>
      </c>
      <c r="C727" s="19">
        <v>1000000</v>
      </c>
    </row>
    <row r="728" spans="1:3" x14ac:dyDescent="0.25">
      <c r="A728" s="14">
        <v>900793046</v>
      </c>
      <c r="B728" s="11" t="s">
        <v>402</v>
      </c>
      <c r="C728" s="19">
        <v>1000000</v>
      </c>
    </row>
    <row r="729" spans="1:3" x14ac:dyDescent="0.25">
      <c r="A729" s="14">
        <v>900793046</v>
      </c>
      <c r="B729" s="11" t="s">
        <v>402</v>
      </c>
      <c r="C729" s="19">
        <v>1000000</v>
      </c>
    </row>
    <row r="730" spans="1:3" x14ac:dyDescent="0.25">
      <c r="A730" s="14">
        <v>901240494</v>
      </c>
      <c r="B730" s="11" t="s">
        <v>403</v>
      </c>
      <c r="C730" s="19">
        <v>20000000</v>
      </c>
    </row>
    <row r="731" spans="1:3" x14ac:dyDescent="0.25">
      <c r="A731" s="14">
        <v>901240494</v>
      </c>
      <c r="B731" s="11" t="s">
        <v>403</v>
      </c>
      <c r="C731" s="19">
        <v>20000000</v>
      </c>
    </row>
    <row r="732" spans="1:3" x14ac:dyDescent="0.25">
      <c r="A732" s="14">
        <v>901240494</v>
      </c>
      <c r="B732" s="11" t="s">
        <v>403</v>
      </c>
      <c r="C732" s="19">
        <v>20000000</v>
      </c>
    </row>
    <row r="733" spans="1:3" x14ac:dyDescent="0.25">
      <c r="A733" s="14">
        <v>901240494</v>
      </c>
      <c r="B733" s="11" t="s">
        <v>403</v>
      </c>
      <c r="C733" s="19">
        <v>20000000</v>
      </c>
    </row>
    <row r="734" spans="1:3" x14ac:dyDescent="0.25">
      <c r="A734" s="14">
        <v>901240494</v>
      </c>
      <c r="B734" s="11" t="s">
        <v>403</v>
      </c>
      <c r="C734" s="19">
        <v>20000000</v>
      </c>
    </row>
    <row r="735" spans="1:3" x14ac:dyDescent="0.25">
      <c r="A735" s="14">
        <v>901240494</v>
      </c>
      <c r="B735" s="11" t="s">
        <v>403</v>
      </c>
      <c r="C735" s="19">
        <v>20000000</v>
      </c>
    </row>
    <row r="736" spans="1:3" x14ac:dyDescent="0.25">
      <c r="A736" s="14">
        <v>901558589</v>
      </c>
      <c r="B736" s="11" t="s">
        <v>404</v>
      </c>
      <c r="C736" s="19">
        <v>1000000</v>
      </c>
    </row>
    <row r="737" spans="1:3" x14ac:dyDescent="0.25">
      <c r="A737" s="14">
        <v>901222813</v>
      </c>
      <c r="B737" s="11" t="s">
        <v>405</v>
      </c>
      <c r="C737" s="19">
        <v>5000000</v>
      </c>
    </row>
    <row r="738" spans="1:3" x14ac:dyDescent="0.25">
      <c r="A738" s="14">
        <v>901222813</v>
      </c>
      <c r="B738" s="11" t="s">
        <v>405</v>
      </c>
      <c r="C738" s="19">
        <v>5000000</v>
      </c>
    </row>
    <row r="739" spans="1:3" x14ac:dyDescent="0.25">
      <c r="A739" s="14">
        <v>901261990</v>
      </c>
      <c r="B739" s="11" t="s">
        <v>406</v>
      </c>
      <c r="C739" s="19">
        <v>1000000</v>
      </c>
    </row>
    <row r="740" spans="1:3" x14ac:dyDescent="0.25">
      <c r="A740" s="14">
        <v>901498635</v>
      </c>
      <c r="B740" s="11" t="s">
        <v>407</v>
      </c>
      <c r="C740" s="19">
        <v>1000000</v>
      </c>
    </row>
    <row r="741" spans="1:3" x14ac:dyDescent="0.25">
      <c r="A741" s="14">
        <v>830135611</v>
      </c>
      <c r="B741" s="11" t="s">
        <v>1146</v>
      </c>
      <c r="C741" s="19">
        <v>0</v>
      </c>
    </row>
    <row r="742" spans="1:3" x14ac:dyDescent="0.25">
      <c r="A742" s="14">
        <v>830089611</v>
      </c>
      <c r="B742" s="11" t="s">
        <v>826</v>
      </c>
      <c r="C742" s="19">
        <v>0</v>
      </c>
    </row>
    <row r="743" spans="1:3" x14ac:dyDescent="0.25">
      <c r="A743" s="14">
        <v>830089611</v>
      </c>
      <c r="B743" s="11" t="s">
        <v>826</v>
      </c>
      <c r="C743" s="19">
        <v>0</v>
      </c>
    </row>
    <row r="744" spans="1:3" x14ac:dyDescent="0.25">
      <c r="A744" s="14">
        <v>900711656</v>
      </c>
      <c r="B744" s="11" t="s">
        <v>793</v>
      </c>
      <c r="C744" s="19">
        <v>1000000</v>
      </c>
    </row>
    <row r="745" spans="1:3" x14ac:dyDescent="0.25">
      <c r="A745" s="14">
        <v>901853697</v>
      </c>
      <c r="B745" s="11" t="s">
        <v>810</v>
      </c>
      <c r="C745" s="19">
        <v>15000000</v>
      </c>
    </row>
    <row r="746" spans="1:3" x14ac:dyDescent="0.25">
      <c r="A746" s="14">
        <v>901853697</v>
      </c>
      <c r="B746" s="11" t="s">
        <v>810</v>
      </c>
      <c r="C746" s="19">
        <v>15000000</v>
      </c>
    </row>
    <row r="747" spans="1:3" x14ac:dyDescent="0.25">
      <c r="A747" s="14">
        <v>901322103</v>
      </c>
      <c r="B747" s="11" t="s">
        <v>409</v>
      </c>
      <c r="C747" s="19">
        <v>1000000</v>
      </c>
    </row>
    <row r="748" spans="1:3" x14ac:dyDescent="0.25">
      <c r="A748" s="14">
        <v>452</v>
      </c>
      <c r="B748" s="11" t="s">
        <v>410</v>
      </c>
      <c r="C748" s="19">
        <v>1000000</v>
      </c>
    </row>
    <row r="749" spans="1:3" x14ac:dyDescent="0.25">
      <c r="A749" s="14">
        <v>80375428</v>
      </c>
      <c r="B749" s="11" t="s">
        <v>411</v>
      </c>
      <c r="C749" s="18">
        <v>1000000</v>
      </c>
    </row>
    <row r="750" spans="1:3" x14ac:dyDescent="0.25">
      <c r="A750" s="14">
        <v>860026895</v>
      </c>
      <c r="B750" s="11" t="s">
        <v>412</v>
      </c>
      <c r="C750" s="18">
        <v>1000000</v>
      </c>
    </row>
    <row r="751" spans="1:3" x14ac:dyDescent="0.25">
      <c r="A751" s="14">
        <v>79457023</v>
      </c>
      <c r="B751" s="11" t="s">
        <v>839</v>
      </c>
      <c r="C751" s="19">
        <v>5000000</v>
      </c>
    </row>
    <row r="752" spans="1:3" x14ac:dyDescent="0.25">
      <c r="A752" s="14">
        <v>901691968</v>
      </c>
      <c r="B752" s="11" t="s">
        <v>413</v>
      </c>
      <c r="C752" s="19">
        <v>1000000</v>
      </c>
    </row>
    <row r="753" spans="1:3" x14ac:dyDescent="0.25">
      <c r="A753" s="14">
        <v>900308716</v>
      </c>
      <c r="B753" s="11" t="s">
        <v>414</v>
      </c>
      <c r="C753" s="19">
        <v>1000000</v>
      </c>
    </row>
    <row r="754" spans="1:3" x14ac:dyDescent="0.25">
      <c r="A754" s="14">
        <v>2964752</v>
      </c>
      <c r="B754" s="11" t="s">
        <v>1147</v>
      </c>
      <c r="C754" s="18">
        <v>1000000</v>
      </c>
    </row>
    <row r="755" spans="1:3" x14ac:dyDescent="0.25">
      <c r="A755" s="14">
        <v>74810352</v>
      </c>
      <c r="B755" s="11" t="s">
        <v>415</v>
      </c>
      <c r="C755" s="18">
        <v>1000000</v>
      </c>
    </row>
    <row r="756" spans="1:3" x14ac:dyDescent="0.25">
      <c r="A756" s="14">
        <v>79530149</v>
      </c>
      <c r="B756" s="11" t="s">
        <v>416</v>
      </c>
      <c r="C756" s="18">
        <v>1000000</v>
      </c>
    </row>
    <row r="757" spans="1:3" x14ac:dyDescent="0.25">
      <c r="A757" s="14">
        <v>1000595418</v>
      </c>
      <c r="B757" s="11" t="s">
        <v>955</v>
      </c>
      <c r="C757" s="19">
        <v>5000000</v>
      </c>
    </row>
    <row r="758" spans="1:3" x14ac:dyDescent="0.25">
      <c r="A758" s="14">
        <v>1000595418</v>
      </c>
      <c r="B758" s="11" t="s">
        <v>955</v>
      </c>
      <c r="C758" s="19">
        <v>5000000</v>
      </c>
    </row>
    <row r="759" spans="1:3" x14ac:dyDescent="0.25">
      <c r="A759" s="14">
        <v>140</v>
      </c>
      <c r="B759" s="11" t="s">
        <v>417</v>
      </c>
      <c r="C759" s="18">
        <v>1000000</v>
      </c>
    </row>
    <row r="760" spans="1:3" x14ac:dyDescent="0.25">
      <c r="A760" s="14">
        <v>362</v>
      </c>
      <c r="B760" s="11" t="s">
        <v>1010</v>
      </c>
      <c r="C760" s="18">
        <v>1000000</v>
      </c>
    </row>
    <row r="761" spans="1:3" x14ac:dyDescent="0.25">
      <c r="A761" s="14">
        <v>4239973</v>
      </c>
      <c r="B761" s="11" t="s">
        <v>418</v>
      </c>
      <c r="C761" s="18">
        <v>1000000</v>
      </c>
    </row>
    <row r="762" spans="1:3" x14ac:dyDescent="0.25">
      <c r="A762" s="14">
        <v>80175926</v>
      </c>
      <c r="B762" s="11" t="s">
        <v>1148</v>
      </c>
      <c r="C762" s="19">
        <v>3000000</v>
      </c>
    </row>
    <row r="763" spans="1:3" x14ac:dyDescent="0.25">
      <c r="A763" s="14">
        <v>87510606</v>
      </c>
      <c r="B763" s="11" t="s">
        <v>1068</v>
      </c>
      <c r="C763" s="19">
        <v>0</v>
      </c>
    </row>
    <row r="764" spans="1:3" x14ac:dyDescent="0.25">
      <c r="A764" s="14">
        <v>79784607</v>
      </c>
      <c r="B764" s="11" t="s">
        <v>420</v>
      </c>
      <c r="C764" s="18">
        <v>1000000</v>
      </c>
    </row>
    <row r="765" spans="1:3" x14ac:dyDescent="0.25">
      <c r="A765" s="14">
        <v>1020801088</v>
      </c>
      <c r="B765" s="11" t="s">
        <v>421</v>
      </c>
      <c r="C765" s="18">
        <v>1000000</v>
      </c>
    </row>
    <row r="766" spans="1:3" x14ac:dyDescent="0.25">
      <c r="A766" s="14">
        <v>900748508</v>
      </c>
      <c r="B766" s="11" t="s">
        <v>422</v>
      </c>
      <c r="C766" s="19">
        <v>1000000</v>
      </c>
    </row>
    <row r="767" spans="1:3" x14ac:dyDescent="0.25">
      <c r="A767" s="14">
        <v>123456789</v>
      </c>
      <c r="B767" s="11" t="s">
        <v>423</v>
      </c>
      <c r="C767" s="19">
        <v>1000000</v>
      </c>
    </row>
    <row r="768" spans="1:3" x14ac:dyDescent="0.25">
      <c r="A768" s="14">
        <v>860052844</v>
      </c>
      <c r="B768" s="11" t="s">
        <v>1012</v>
      </c>
      <c r="C768" s="19">
        <v>1000000</v>
      </c>
    </row>
    <row r="769" spans="1:3" x14ac:dyDescent="0.25">
      <c r="A769" s="14">
        <v>80057506</v>
      </c>
      <c r="B769" s="11" t="s">
        <v>424</v>
      </c>
      <c r="C769" s="18">
        <v>1000000</v>
      </c>
    </row>
    <row r="770" spans="1:3" x14ac:dyDescent="0.25">
      <c r="A770" s="14">
        <v>600</v>
      </c>
      <c r="B770" s="11" t="s">
        <v>1149</v>
      </c>
      <c r="C770" s="18">
        <v>1000000</v>
      </c>
    </row>
    <row r="771" spans="1:3" x14ac:dyDescent="0.25">
      <c r="A771" s="14">
        <v>149</v>
      </c>
      <c r="B771" s="11" t="s">
        <v>425</v>
      </c>
      <c r="C771" s="18">
        <v>1000000</v>
      </c>
    </row>
    <row r="772" spans="1:3" x14ac:dyDescent="0.25">
      <c r="A772" s="14">
        <v>175</v>
      </c>
      <c r="B772" s="11" t="s">
        <v>425</v>
      </c>
      <c r="C772" s="18">
        <v>1000000</v>
      </c>
    </row>
    <row r="773" spans="1:3" x14ac:dyDescent="0.25">
      <c r="A773" s="14">
        <v>386</v>
      </c>
      <c r="B773" s="11" t="s">
        <v>426</v>
      </c>
      <c r="C773" s="19">
        <v>1000000</v>
      </c>
    </row>
    <row r="774" spans="1:3" x14ac:dyDescent="0.25">
      <c r="A774" s="14">
        <v>1056054084</v>
      </c>
      <c r="B774" s="11" t="s">
        <v>427</v>
      </c>
      <c r="C774" s="18">
        <v>1000000</v>
      </c>
    </row>
    <row r="775" spans="1:3" x14ac:dyDescent="0.25">
      <c r="A775" s="14">
        <v>1014203178</v>
      </c>
      <c r="B775" s="11" t="s">
        <v>428</v>
      </c>
      <c r="C775" s="18">
        <v>1000000</v>
      </c>
    </row>
    <row r="776" spans="1:3" x14ac:dyDescent="0.25">
      <c r="A776" s="14">
        <v>6031638</v>
      </c>
      <c r="B776" s="11" t="s">
        <v>1150</v>
      </c>
      <c r="C776" s="18">
        <v>1000000</v>
      </c>
    </row>
    <row r="777" spans="1:3" x14ac:dyDescent="0.25">
      <c r="A777" s="14">
        <v>900714990</v>
      </c>
      <c r="B777" s="11" t="s">
        <v>429</v>
      </c>
      <c r="C777" s="19">
        <v>1000000</v>
      </c>
    </row>
    <row r="778" spans="1:3" x14ac:dyDescent="0.25">
      <c r="A778" s="14">
        <v>900714990</v>
      </c>
      <c r="B778" s="11" t="s">
        <v>429</v>
      </c>
      <c r="C778" s="19">
        <v>1000000</v>
      </c>
    </row>
    <row r="779" spans="1:3" x14ac:dyDescent="0.25">
      <c r="A779" s="14">
        <v>830074169</v>
      </c>
      <c r="B779" s="11" t="s">
        <v>1014</v>
      </c>
      <c r="C779" s="19">
        <v>0</v>
      </c>
    </row>
    <row r="780" spans="1:3" x14ac:dyDescent="0.25">
      <c r="A780" s="14">
        <v>1030619594</v>
      </c>
      <c r="B780" s="11" t="s">
        <v>1069</v>
      </c>
      <c r="C780" s="19">
        <v>0</v>
      </c>
    </row>
    <row r="781" spans="1:3" x14ac:dyDescent="0.25">
      <c r="A781" s="14">
        <v>900361916</v>
      </c>
      <c r="B781" s="11" t="s">
        <v>430</v>
      </c>
      <c r="C781" s="19">
        <v>6000000</v>
      </c>
    </row>
    <row r="782" spans="1:3" x14ac:dyDescent="0.25">
      <c r="A782" s="14">
        <v>52384507</v>
      </c>
      <c r="B782" s="11" t="s">
        <v>431</v>
      </c>
      <c r="C782" s="19">
        <v>1000000</v>
      </c>
    </row>
    <row r="783" spans="1:3" x14ac:dyDescent="0.25">
      <c r="A783" s="14">
        <v>52967038</v>
      </c>
      <c r="B783" s="11" t="s">
        <v>432</v>
      </c>
      <c r="C783" s="18">
        <v>1000000</v>
      </c>
    </row>
    <row r="784" spans="1:3" x14ac:dyDescent="0.25">
      <c r="A784" s="14">
        <v>1121826676</v>
      </c>
      <c r="B784" s="11" t="s">
        <v>433</v>
      </c>
      <c r="C784" s="19">
        <v>1000000</v>
      </c>
    </row>
    <row r="785" spans="1:3" x14ac:dyDescent="0.25">
      <c r="A785" s="14">
        <v>1015463459</v>
      </c>
      <c r="B785" s="11" t="s">
        <v>957</v>
      </c>
      <c r="C785" s="19">
        <v>1000000</v>
      </c>
    </row>
    <row r="786" spans="1:3" x14ac:dyDescent="0.25">
      <c r="A786" s="14">
        <v>88238301</v>
      </c>
      <c r="B786" s="11" t="s">
        <v>1151</v>
      </c>
      <c r="C786" s="18">
        <v>1000000</v>
      </c>
    </row>
    <row r="787" spans="1:3" x14ac:dyDescent="0.25">
      <c r="A787" s="14">
        <v>1020798382</v>
      </c>
      <c r="B787" s="11" t="s">
        <v>434</v>
      </c>
      <c r="C787" s="19">
        <v>12000000</v>
      </c>
    </row>
    <row r="788" spans="1:3" x14ac:dyDescent="0.25">
      <c r="A788" s="14">
        <v>13493041</v>
      </c>
      <c r="B788" s="11" t="s">
        <v>435</v>
      </c>
      <c r="C788" s="18">
        <v>1000000</v>
      </c>
    </row>
    <row r="789" spans="1:3" x14ac:dyDescent="0.25">
      <c r="A789" s="14">
        <v>901114729</v>
      </c>
      <c r="B789" s="11" t="s">
        <v>436</v>
      </c>
      <c r="C789" s="19">
        <v>1000000</v>
      </c>
    </row>
    <row r="790" spans="1:3" x14ac:dyDescent="0.25">
      <c r="A790" s="14">
        <v>80577715</v>
      </c>
      <c r="B790" s="11" t="s">
        <v>1152</v>
      </c>
      <c r="C790" s="18">
        <v>0</v>
      </c>
    </row>
    <row r="791" spans="1:3" x14ac:dyDescent="0.25">
      <c r="A791" s="14">
        <v>156</v>
      </c>
      <c r="B791" s="11" t="s">
        <v>437</v>
      </c>
      <c r="C791" s="18">
        <v>1000000</v>
      </c>
    </row>
    <row r="792" spans="1:3" x14ac:dyDescent="0.25">
      <c r="A792" s="14">
        <v>13616145</v>
      </c>
      <c r="B792" s="11" t="s">
        <v>438</v>
      </c>
      <c r="C792" s="19">
        <v>1000000</v>
      </c>
    </row>
    <row r="793" spans="1:3" x14ac:dyDescent="0.25">
      <c r="A793" s="14">
        <v>225</v>
      </c>
      <c r="B793" s="11" t="s">
        <v>439</v>
      </c>
      <c r="C793" s="18">
        <v>1000000</v>
      </c>
    </row>
    <row r="794" spans="1:3" x14ac:dyDescent="0.25">
      <c r="A794" s="14">
        <v>181</v>
      </c>
      <c r="B794" s="11" t="s">
        <v>440</v>
      </c>
      <c r="C794" s="19">
        <v>1000000</v>
      </c>
    </row>
    <row r="795" spans="1:3" x14ac:dyDescent="0.25">
      <c r="A795" s="14">
        <v>80245970</v>
      </c>
      <c r="B795" s="11" t="s">
        <v>441</v>
      </c>
      <c r="C795" s="19">
        <v>1000000</v>
      </c>
    </row>
    <row r="796" spans="1:3" x14ac:dyDescent="0.25">
      <c r="A796" s="14">
        <v>1115188542</v>
      </c>
      <c r="B796" s="11" t="s">
        <v>1153</v>
      </c>
      <c r="C796" s="19">
        <v>0</v>
      </c>
    </row>
    <row r="797" spans="1:3" x14ac:dyDescent="0.25">
      <c r="A797" s="14">
        <v>80802765</v>
      </c>
      <c r="B797" s="11" t="s">
        <v>442</v>
      </c>
      <c r="C797" s="19">
        <v>1000000</v>
      </c>
    </row>
    <row r="798" spans="1:3" x14ac:dyDescent="0.25">
      <c r="A798" s="14">
        <v>1016018808</v>
      </c>
      <c r="B798" s="11" t="s">
        <v>788</v>
      </c>
      <c r="C798" s="19">
        <v>1000000</v>
      </c>
    </row>
    <row r="799" spans="1:3" x14ac:dyDescent="0.25">
      <c r="A799" s="14">
        <v>98568000</v>
      </c>
      <c r="B799" s="11" t="s">
        <v>1154</v>
      </c>
      <c r="C799" s="18">
        <v>1000000</v>
      </c>
    </row>
    <row r="800" spans="1:3" x14ac:dyDescent="0.25">
      <c r="A800" s="14">
        <v>1058274435</v>
      </c>
      <c r="B800" s="11" t="s">
        <v>443</v>
      </c>
      <c r="C800" s="19">
        <v>1000000</v>
      </c>
    </row>
    <row r="801" spans="1:3" x14ac:dyDescent="0.25">
      <c r="A801" s="14">
        <v>901582851</v>
      </c>
      <c r="B801" s="11" t="s">
        <v>959</v>
      </c>
      <c r="C801" s="19">
        <v>0</v>
      </c>
    </row>
    <row r="802" spans="1:3" x14ac:dyDescent="0.25">
      <c r="A802" s="14">
        <v>456</v>
      </c>
      <c r="B802" s="11" t="s">
        <v>444</v>
      </c>
      <c r="C802" s="19">
        <v>1000000</v>
      </c>
    </row>
    <row r="803" spans="1:3" x14ac:dyDescent="0.25">
      <c r="A803" s="14">
        <v>1030562094</v>
      </c>
      <c r="B803" s="11" t="s">
        <v>977</v>
      </c>
      <c r="C803" s="19">
        <v>0</v>
      </c>
    </row>
    <row r="804" spans="1:3" x14ac:dyDescent="0.25">
      <c r="A804" s="14">
        <v>13760539</v>
      </c>
      <c r="B804" s="11" t="s">
        <v>445</v>
      </c>
      <c r="C804" s="18">
        <v>1000000</v>
      </c>
    </row>
    <row r="805" spans="1:3" x14ac:dyDescent="0.25">
      <c r="A805" s="14">
        <v>361</v>
      </c>
      <c r="B805" s="11" t="s">
        <v>446</v>
      </c>
      <c r="C805" s="19">
        <v>1000000</v>
      </c>
    </row>
    <row r="806" spans="1:3" x14ac:dyDescent="0.25">
      <c r="A806" s="14">
        <v>1020746546</v>
      </c>
      <c r="B806" s="11" t="s">
        <v>447</v>
      </c>
      <c r="C806" s="18">
        <v>1000000</v>
      </c>
    </row>
    <row r="807" spans="1:3" x14ac:dyDescent="0.25">
      <c r="A807" s="14">
        <v>413</v>
      </c>
      <c r="B807" s="11" t="s">
        <v>448</v>
      </c>
      <c r="C807" s="19">
        <v>1000000</v>
      </c>
    </row>
    <row r="808" spans="1:3" x14ac:dyDescent="0.25">
      <c r="A808" s="14">
        <v>701</v>
      </c>
      <c r="B808" s="11" t="s">
        <v>922</v>
      </c>
      <c r="C808" s="18">
        <v>1000000</v>
      </c>
    </row>
    <row r="809" spans="1:3" x14ac:dyDescent="0.25">
      <c r="A809" s="14">
        <v>7730096</v>
      </c>
      <c r="B809" s="11" t="s">
        <v>922</v>
      </c>
      <c r="C809" s="19">
        <v>1000000</v>
      </c>
    </row>
    <row r="810" spans="1:3" x14ac:dyDescent="0.25">
      <c r="A810" s="14">
        <v>79646110</v>
      </c>
      <c r="B810" s="11" t="s">
        <v>831</v>
      </c>
      <c r="C810" s="19">
        <v>1000000</v>
      </c>
    </row>
    <row r="811" spans="1:3" x14ac:dyDescent="0.25">
      <c r="A811" s="14">
        <v>705</v>
      </c>
      <c r="B811" s="11" t="s">
        <v>1070</v>
      </c>
      <c r="C811" s="19">
        <v>1000000</v>
      </c>
    </row>
    <row r="812" spans="1:3" x14ac:dyDescent="0.25">
      <c r="A812" s="14">
        <v>705</v>
      </c>
      <c r="B812" s="11" t="s">
        <v>1070</v>
      </c>
      <c r="C812" s="19">
        <v>1000000</v>
      </c>
    </row>
    <row r="813" spans="1:3" x14ac:dyDescent="0.25">
      <c r="A813" s="14">
        <v>706</v>
      </c>
      <c r="B813" s="11" t="s">
        <v>1070</v>
      </c>
      <c r="C813" s="19">
        <v>0</v>
      </c>
    </row>
    <row r="814" spans="1:3" x14ac:dyDescent="0.25">
      <c r="A814" s="14">
        <v>1000</v>
      </c>
      <c r="B814" s="11" t="s">
        <v>1155</v>
      </c>
      <c r="C814" s="19">
        <v>1000000</v>
      </c>
    </row>
    <row r="815" spans="1:3" x14ac:dyDescent="0.25">
      <c r="A815" s="14">
        <v>1074929520</v>
      </c>
      <c r="B815" s="11" t="s">
        <v>904</v>
      </c>
      <c r="C815" s="19">
        <v>1000000</v>
      </c>
    </row>
    <row r="816" spans="1:3" x14ac:dyDescent="0.25">
      <c r="A816" s="14">
        <v>1074929520</v>
      </c>
      <c r="B816" s="11" t="s">
        <v>904</v>
      </c>
      <c r="C816" s="19">
        <v>1000000</v>
      </c>
    </row>
    <row r="817" spans="1:3" x14ac:dyDescent="0.25">
      <c r="A817" s="14">
        <v>1022337892</v>
      </c>
      <c r="B817" s="11" t="s">
        <v>1156</v>
      </c>
      <c r="C817" s="19">
        <v>2000000</v>
      </c>
    </row>
    <row r="818" spans="1:3" x14ac:dyDescent="0.25">
      <c r="A818" s="14">
        <v>1022337892</v>
      </c>
      <c r="B818" s="11" t="s">
        <v>1156</v>
      </c>
      <c r="C818" s="19">
        <v>2000000</v>
      </c>
    </row>
    <row r="819" spans="1:3" x14ac:dyDescent="0.25">
      <c r="A819" s="14">
        <v>1007071498</v>
      </c>
      <c r="B819" s="11" t="s">
        <v>449</v>
      </c>
      <c r="C819" s="18">
        <v>1000000</v>
      </c>
    </row>
    <row r="820" spans="1:3" x14ac:dyDescent="0.25">
      <c r="A820" s="14">
        <v>393</v>
      </c>
      <c r="B820" s="11" t="s">
        <v>450</v>
      </c>
      <c r="C820" s="19">
        <v>1000000</v>
      </c>
    </row>
    <row r="821" spans="1:3" x14ac:dyDescent="0.25">
      <c r="A821" s="14">
        <v>80443136</v>
      </c>
      <c r="B821" s="11" t="s">
        <v>451</v>
      </c>
      <c r="C821" s="19">
        <v>1000000</v>
      </c>
    </row>
    <row r="822" spans="1:3" x14ac:dyDescent="0.25">
      <c r="A822" s="14">
        <v>1020764861</v>
      </c>
      <c r="B822" s="11" t="s">
        <v>452</v>
      </c>
      <c r="C822" s="18">
        <v>1000000</v>
      </c>
    </row>
    <row r="823" spans="1:3" x14ac:dyDescent="0.25">
      <c r="A823" s="14">
        <v>79134459</v>
      </c>
      <c r="B823" s="11" t="s">
        <v>453</v>
      </c>
      <c r="C823" s="18">
        <v>1000000</v>
      </c>
    </row>
    <row r="824" spans="1:3" x14ac:dyDescent="0.25">
      <c r="A824" s="14">
        <v>79560570</v>
      </c>
      <c r="B824" s="11" t="s">
        <v>923</v>
      </c>
      <c r="C824" s="19">
        <v>1000000</v>
      </c>
    </row>
    <row r="825" spans="1:3" x14ac:dyDescent="0.25">
      <c r="A825" s="14">
        <v>1022354357</v>
      </c>
      <c r="B825" s="11" t="s">
        <v>454</v>
      </c>
      <c r="C825" s="19">
        <v>1000000</v>
      </c>
    </row>
    <row r="826" spans="1:3" x14ac:dyDescent="0.25">
      <c r="A826" s="14">
        <v>80011996</v>
      </c>
      <c r="B826" s="11" t="s">
        <v>1157</v>
      </c>
      <c r="C826" s="18">
        <v>1000000</v>
      </c>
    </row>
    <row r="827" spans="1:3" x14ac:dyDescent="0.25">
      <c r="A827" s="14">
        <v>79110716</v>
      </c>
      <c r="B827" s="11" t="s">
        <v>455</v>
      </c>
      <c r="C827" s="18">
        <v>1000000</v>
      </c>
    </row>
    <row r="828" spans="1:3" x14ac:dyDescent="0.25">
      <c r="A828" s="14">
        <v>360</v>
      </c>
      <c r="B828" s="11" t="s">
        <v>456</v>
      </c>
      <c r="C828" s="19">
        <v>1000000</v>
      </c>
    </row>
    <row r="829" spans="1:3" x14ac:dyDescent="0.25">
      <c r="A829" s="14">
        <v>80814456</v>
      </c>
      <c r="B829" s="11" t="s">
        <v>457</v>
      </c>
      <c r="C829" s="19">
        <v>1000000</v>
      </c>
    </row>
    <row r="830" spans="1:3" x14ac:dyDescent="0.25">
      <c r="A830" s="14">
        <v>79645999</v>
      </c>
      <c r="B830" s="11" t="s">
        <v>1071</v>
      </c>
      <c r="C830" s="19">
        <v>0</v>
      </c>
    </row>
    <row r="831" spans="1:3" x14ac:dyDescent="0.25">
      <c r="A831" s="14">
        <v>79652919</v>
      </c>
      <c r="B831" s="11" t="s">
        <v>1158</v>
      </c>
      <c r="C831" s="18">
        <v>0</v>
      </c>
    </row>
    <row r="832" spans="1:3" x14ac:dyDescent="0.25">
      <c r="A832" s="14">
        <v>74338833</v>
      </c>
      <c r="B832" s="11" t="s">
        <v>924</v>
      </c>
      <c r="C832" s="19">
        <v>30000000</v>
      </c>
    </row>
    <row r="833" spans="1:3" x14ac:dyDescent="0.25">
      <c r="A833" s="14">
        <v>700119915</v>
      </c>
      <c r="B833" s="11" t="s">
        <v>458</v>
      </c>
      <c r="C833" s="19">
        <v>1000000</v>
      </c>
    </row>
    <row r="834" spans="1:3" x14ac:dyDescent="0.25">
      <c r="A834" s="14">
        <v>80155191</v>
      </c>
      <c r="B834" s="11" t="s">
        <v>459</v>
      </c>
      <c r="C834" s="18">
        <v>1000000</v>
      </c>
    </row>
    <row r="835" spans="1:3" x14ac:dyDescent="0.25">
      <c r="A835" s="14">
        <v>1192757651</v>
      </c>
      <c r="B835" s="11" t="s">
        <v>460</v>
      </c>
      <c r="C835" s="19">
        <v>1000000</v>
      </c>
    </row>
    <row r="836" spans="1:3" x14ac:dyDescent="0.25">
      <c r="A836" s="14">
        <v>1023885109</v>
      </c>
      <c r="B836" s="11" t="s">
        <v>1159</v>
      </c>
      <c r="C836" s="18">
        <v>0</v>
      </c>
    </row>
    <row r="837" spans="1:3" x14ac:dyDescent="0.25">
      <c r="A837" s="14">
        <v>17389704</v>
      </c>
      <c r="B837" s="11" t="s">
        <v>461</v>
      </c>
      <c r="C837" s="19">
        <v>1000000</v>
      </c>
    </row>
    <row r="838" spans="1:3" x14ac:dyDescent="0.25">
      <c r="A838" s="14">
        <v>1051502127</v>
      </c>
      <c r="B838" s="11" t="s">
        <v>1160</v>
      </c>
      <c r="C838" s="19">
        <v>7000000</v>
      </c>
    </row>
    <row r="839" spans="1:3" x14ac:dyDescent="0.25">
      <c r="A839" s="14">
        <v>4291003</v>
      </c>
      <c r="B839" s="11" t="s">
        <v>462</v>
      </c>
      <c r="C839" s="18">
        <v>1000000</v>
      </c>
    </row>
    <row r="840" spans="1:3" x14ac:dyDescent="0.25">
      <c r="A840" s="14">
        <v>80768414</v>
      </c>
      <c r="B840" s="11" t="s">
        <v>1016</v>
      </c>
      <c r="C840" s="19">
        <v>0</v>
      </c>
    </row>
    <row r="841" spans="1:3" x14ac:dyDescent="0.25">
      <c r="A841" s="14">
        <v>2716065</v>
      </c>
      <c r="B841" s="11" t="s">
        <v>463</v>
      </c>
      <c r="C841" s="19">
        <v>1000000</v>
      </c>
    </row>
    <row r="842" spans="1:3" x14ac:dyDescent="0.25">
      <c r="A842" s="14">
        <v>19446573</v>
      </c>
      <c r="B842" s="11" t="s">
        <v>464</v>
      </c>
      <c r="C842" s="19">
        <v>1000000</v>
      </c>
    </row>
    <row r="843" spans="1:3" x14ac:dyDescent="0.25">
      <c r="A843" s="14">
        <v>80090956</v>
      </c>
      <c r="B843" s="11" t="s">
        <v>1161</v>
      </c>
      <c r="C843" s="18">
        <v>1000000</v>
      </c>
    </row>
    <row r="844" spans="1:3" x14ac:dyDescent="0.25">
      <c r="A844" s="14">
        <v>169</v>
      </c>
      <c r="B844" s="11" t="s">
        <v>466</v>
      </c>
      <c r="C844" s="18">
        <v>0</v>
      </c>
    </row>
    <row r="845" spans="1:3" x14ac:dyDescent="0.25">
      <c r="A845" s="14">
        <v>1054916302</v>
      </c>
      <c r="B845" s="11" t="s">
        <v>466</v>
      </c>
      <c r="C845" s="19">
        <v>0</v>
      </c>
    </row>
    <row r="846" spans="1:3" x14ac:dyDescent="0.25">
      <c r="A846" s="14">
        <v>1012444808</v>
      </c>
      <c r="B846" s="11" t="s">
        <v>467</v>
      </c>
      <c r="C846" s="18">
        <v>1000000</v>
      </c>
    </row>
    <row r="847" spans="1:3" x14ac:dyDescent="0.25">
      <c r="A847" s="14">
        <v>79598101</v>
      </c>
      <c r="B847" s="11" t="s">
        <v>468</v>
      </c>
      <c r="C847" s="19">
        <v>1000000</v>
      </c>
    </row>
    <row r="848" spans="1:3" x14ac:dyDescent="0.25">
      <c r="A848" s="14">
        <v>1103364654</v>
      </c>
      <c r="B848" s="11" t="s">
        <v>469</v>
      </c>
      <c r="C848" s="19">
        <v>3000000</v>
      </c>
    </row>
    <row r="849" spans="1:3" x14ac:dyDescent="0.25">
      <c r="A849" s="14">
        <v>601</v>
      </c>
      <c r="B849" s="11" t="s">
        <v>469</v>
      </c>
      <c r="C849" s="19">
        <v>3000000</v>
      </c>
    </row>
    <row r="850" spans="1:3" x14ac:dyDescent="0.25">
      <c r="A850" s="14">
        <v>1019134174</v>
      </c>
      <c r="B850" s="11" t="s">
        <v>1162</v>
      </c>
      <c r="C850" s="18">
        <v>0</v>
      </c>
    </row>
    <row r="851" spans="1:3" x14ac:dyDescent="0.25">
      <c r="A851" s="14">
        <v>1032500495</v>
      </c>
      <c r="B851" s="11" t="s">
        <v>1163</v>
      </c>
      <c r="C851" s="18">
        <v>1000000</v>
      </c>
    </row>
    <row r="852" spans="1:3" x14ac:dyDescent="0.25">
      <c r="A852" s="14">
        <v>1031159845</v>
      </c>
      <c r="B852" s="11" t="s">
        <v>961</v>
      </c>
      <c r="C852" s="19">
        <v>1000000</v>
      </c>
    </row>
    <row r="853" spans="1:3" x14ac:dyDescent="0.25">
      <c r="A853" s="14">
        <v>9736863</v>
      </c>
      <c r="B853" s="11" t="s">
        <v>470</v>
      </c>
      <c r="C853" s="19">
        <v>1000000</v>
      </c>
    </row>
    <row r="854" spans="1:3" x14ac:dyDescent="0.25">
      <c r="A854" s="14">
        <v>1019051425</v>
      </c>
      <c r="B854" s="11" t="s">
        <v>471</v>
      </c>
      <c r="C854" s="18">
        <v>1000000</v>
      </c>
    </row>
    <row r="855" spans="1:3" x14ac:dyDescent="0.25">
      <c r="A855" s="14">
        <v>74243383</v>
      </c>
      <c r="B855" s="11" t="s">
        <v>472</v>
      </c>
      <c r="C855" s="19">
        <v>1000000</v>
      </c>
    </row>
    <row r="856" spans="1:3" x14ac:dyDescent="0.25">
      <c r="A856" s="14">
        <v>79571038</v>
      </c>
      <c r="B856" s="11" t="s">
        <v>804</v>
      </c>
      <c r="C856" s="19">
        <v>1000000</v>
      </c>
    </row>
    <row r="857" spans="1:3" x14ac:dyDescent="0.25">
      <c r="A857" s="14">
        <v>79504622</v>
      </c>
      <c r="B857" s="11" t="s">
        <v>473</v>
      </c>
      <c r="C857" s="18">
        <v>1000000</v>
      </c>
    </row>
    <row r="858" spans="1:3" x14ac:dyDescent="0.25">
      <c r="A858" s="14">
        <v>1020808452</v>
      </c>
      <c r="B858" s="11" t="s">
        <v>474</v>
      </c>
      <c r="C858" s="18">
        <v>1000000</v>
      </c>
    </row>
    <row r="859" spans="1:3" x14ac:dyDescent="0.25">
      <c r="A859" s="14">
        <v>1121954833</v>
      </c>
      <c r="B859" s="11" t="s">
        <v>475</v>
      </c>
      <c r="C859" s="19">
        <v>1000000</v>
      </c>
    </row>
    <row r="860" spans="1:3" x14ac:dyDescent="0.25">
      <c r="A860" s="14">
        <v>1020735646</v>
      </c>
      <c r="B860" s="11" t="s">
        <v>476</v>
      </c>
      <c r="C860" s="19">
        <v>1000000</v>
      </c>
    </row>
    <row r="861" spans="1:3" x14ac:dyDescent="0.25">
      <c r="A861" s="14">
        <v>151</v>
      </c>
      <c r="B861" s="11" t="s">
        <v>477</v>
      </c>
      <c r="C861" s="18">
        <v>1000000</v>
      </c>
    </row>
    <row r="862" spans="1:3" x14ac:dyDescent="0.25">
      <c r="A862" s="14">
        <v>900460708</v>
      </c>
      <c r="B862" s="11" t="s">
        <v>478</v>
      </c>
      <c r="C862" s="19">
        <v>1000000</v>
      </c>
    </row>
    <row r="863" spans="1:3" x14ac:dyDescent="0.25">
      <c r="A863" s="14">
        <v>80096131</v>
      </c>
      <c r="B863" s="11" t="s">
        <v>479</v>
      </c>
      <c r="C863" s="18">
        <v>1000000</v>
      </c>
    </row>
    <row r="864" spans="1:3" x14ac:dyDescent="0.25">
      <c r="A864" s="14">
        <v>1007729972</v>
      </c>
      <c r="B864" s="11" t="s">
        <v>480</v>
      </c>
      <c r="C864" s="19">
        <v>1000000</v>
      </c>
    </row>
    <row r="865" spans="1:3" x14ac:dyDescent="0.25">
      <c r="A865" s="14">
        <v>1023364079</v>
      </c>
      <c r="B865" s="11" t="s">
        <v>481</v>
      </c>
      <c r="C865" s="18">
        <v>1000000</v>
      </c>
    </row>
    <row r="866" spans="1:3" x14ac:dyDescent="0.25">
      <c r="A866" s="14">
        <v>79883488</v>
      </c>
      <c r="B866" s="11" t="s">
        <v>482</v>
      </c>
      <c r="C866" s="19">
        <v>1000000</v>
      </c>
    </row>
    <row r="867" spans="1:3" x14ac:dyDescent="0.25">
      <c r="A867" s="14">
        <v>79883488</v>
      </c>
      <c r="B867" s="11" t="s">
        <v>482</v>
      </c>
      <c r="C867" s="19">
        <v>1000000</v>
      </c>
    </row>
    <row r="868" spans="1:3" x14ac:dyDescent="0.25">
      <c r="A868" s="14">
        <v>52282004</v>
      </c>
      <c r="B868" s="11" t="s">
        <v>483</v>
      </c>
      <c r="C868" s="19">
        <v>1000000</v>
      </c>
    </row>
    <row r="869" spans="1:3" x14ac:dyDescent="0.25">
      <c r="A869" s="14">
        <v>1144044719</v>
      </c>
      <c r="B869" s="11" t="s">
        <v>484</v>
      </c>
      <c r="C869" s="18">
        <v>1000000</v>
      </c>
    </row>
    <row r="870" spans="1:3" x14ac:dyDescent="0.25">
      <c r="A870" s="14">
        <v>389</v>
      </c>
      <c r="B870" s="11" t="s">
        <v>485</v>
      </c>
      <c r="C870" s="19">
        <v>1000000</v>
      </c>
    </row>
    <row r="871" spans="1:3" x14ac:dyDescent="0.25">
      <c r="A871" s="14">
        <v>1024536945</v>
      </c>
      <c r="B871" s="11" t="s">
        <v>821</v>
      </c>
      <c r="C871" s="19">
        <v>4000000</v>
      </c>
    </row>
    <row r="872" spans="1:3" x14ac:dyDescent="0.25">
      <c r="A872" s="14">
        <v>385</v>
      </c>
      <c r="B872" s="11" t="s">
        <v>486</v>
      </c>
      <c r="C872" s="19">
        <v>1000000</v>
      </c>
    </row>
    <row r="873" spans="1:3" x14ac:dyDescent="0.25">
      <c r="A873" s="14">
        <v>900811378</v>
      </c>
      <c r="B873" s="11" t="s">
        <v>487</v>
      </c>
      <c r="C873" s="19">
        <v>70000000</v>
      </c>
    </row>
    <row r="874" spans="1:3" x14ac:dyDescent="0.25">
      <c r="A874" s="14">
        <v>900483069</v>
      </c>
      <c r="B874" s="11" t="s">
        <v>488</v>
      </c>
      <c r="C874" s="19">
        <v>70000000</v>
      </c>
    </row>
    <row r="875" spans="1:3" x14ac:dyDescent="0.25">
      <c r="A875" s="14">
        <v>900483069</v>
      </c>
      <c r="B875" s="11" t="s">
        <v>488</v>
      </c>
      <c r="C875" s="19">
        <v>70000000</v>
      </c>
    </row>
    <row r="876" spans="1:3" x14ac:dyDescent="0.25">
      <c r="A876" s="14">
        <v>900483069</v>
      </c>
      <c r="B876" s="11" t="s">
        <v>488</v>
      </c>
      <c r="C876" s="19">
        <v>70000000</v>
      </c>
    </row>
    <row r="877" spans="1:3" x14ac:dyDescent="0.25">
      <c r="A877" s="14">
        <v>900483069</v>
      </c>
      <c r="B877" s="11" t="s">
        <v>488</v>
      </c>
      <c r="C877" s="19">
        <v>70000000</v>
      </c>
    </row>
    <row r="878" spans="1:3" x14ac:dyDescent="0.25">
      <c r="A878" s="14">
        <v>900483069</v>
      </c>
      <c r="B878" s="11" t="s">
        <v>488</v>
      </c>
      <c r="C878" s="19">
        <v>70000000</v>
      </c>
    </row>
    <row r="879" spans="1:3" x14ac:dyDescent="0.25">
      <c r="A879" s="14">
        <v>900483069</v>
      </c>
      <c r="B879" s="11" t="s">
        <v>488</v>
      </c>
      <c r="C879" s="19">
        <v>70000000</v>
      </c>
    </row>
    <row r="880" spans="1:3" x14ac:dyDescent="0.25">
      <c r="A880" s="14">
        <v>900483069</v>
      </c>
      <c r="B880" s="11" t="s">
        <v>488</v>
      </c>
      <c r="C880" s="19">
        <v>70000000</v>
      </c>
    </row>
    <row r="881" spans="1:3" x14ac:dyDescent="0.25">
      <c r="A881" s="14">
        <v>900483069</v>
      </c>
      <c r="B881" s="11" t="s">
        <v>488</v>
      </c>
      <c r="C881" s="19">
        <v>70000000</v>
      </c>
    </row>
    <row r="882" spans="1:3" x14ac:dyDescent="0.25">
      <c r="A882" s="14">
        <v>901614782</v>
      </c>
      <c r="B882" s="11" t="s">
        <v>489</v>
      </c>
      <c r="C882" s="19">
        <v>10000000</v>
      </c>
    </row>
    <row r="883" spans="1:3" x14ac:dyDescent="0.25">
      <c r="A883" s="14">
        <v>901614782</v>
      </c>
      <c r="B883" s="11" t="s">
        <v>489</v>
      </c>
      <c r="C883" s="19">
        <v>10000000</v>
      </c>
    </row>
    <row r="884" spans="1:3" x14ac:dyDescent="0.25">
      <c r="A884" s="14">
        <v>901614782</v>
      </c>
      <c r="B884" s="11" t="s">
        <v>489</v>
      </c>
      <c r="C884" s="19">
        <v>10000000</v>
      </c>
    </row>
    <row r="885" spans="1:3" x14ac:dyDescent="0.25">
      <c r="A885" s="14">
        <v>901614782</v>
      </c>
      <c r="B885" s="11" t="s">
        <v>489</v>
      </c>
      <c r="C885" s="19">
        <v>10000000</v>
      </c>
    </row>
    <row r="886" spans="1:3" x14ac:dyDescent="0.25">
      <c r="A886" s="14">
        <v>901614782</v>
      </c>
      <c r="B886" s="11" t="s">
        <v>489</v>
      </c>
      <c r="C886" s="19">
        <v>10000000</v>
      </c>
    </row>
    <row r="887" spans="1:3" x14ac:dyDescent="0.25">
      <c r="A887" s="14">
        <v>901150256</v>
      </c>
      <c r="B887" s="11" t="s">
        <v>490</v>
      </c>
      <c r="C887" s="19">
        <v>60000000</v>
      </c>
    </row>
    <row r="888" spans="1:3" x14ac:dyDescent="0.25">
      <c r="A888" s="14">
        <v>901150256</v>
      </c>
      <c r="B888" s="11" t="s">
        <v>490</v>
      </c>
      <c r="C888" s="19">
        <v>60000000</v>
      </c>
    </row>
    <row r="889" spans="1:3" x14ac:dyDescent="0.25">
      <c r="A889" s="14">
        <v>901150256</v>
      </c>
      <c r="B889" s="11" t="s">
        <v>490</v>
      </c>
      <c r="C889" s="19">
        <v>60000000</v>
      </c>
    </row>
    <row r="890" spans="1:3" x14ac:dyDescent="0.25">
      <c r="A890" s="14">
        <v>830135186</v>
      </c>
      <c r="B890" s="11" t="s">
        <v>491</v>
      </c>
      <c r="C890" s="19">
        <v>20000000</v>
      </c>
    </row>
    <row r="891" spans="1:3" x14ac:dyDescent="0.25">
      <c r="A891" s="14">
        <v>830135186</v>
      </c>
      <c r="B891" s="11" t="s">
        <v>491</v>
      </c>
      <c r="C891" s="19">
        <v>20000000</v>
      </c>
    </row>
    <row r="892" spans="1:3" x14ac:dyDescent="0.25">
      <c r="A892" s="14">
        <v>901043686</v>
      </c>
      <c r="B892" s="11" t="s">
        <v>492</v>
      </c>
      <c r="C892" s="19">
        <v>10000000</v>
      </c>
    </row>
    <row r="893" spans="1:3" x14ac:dyDescent="0.25">
      <c r="A893" s="14">
        <v>901520455</v>
      </c>
      <c r="B893" s="11" t="s">
        <v>1164</v>
      </c>
      <c r="C893" s="19">
        <v>5000000</v>
      </c>
    </row>
    <row r="894" spans="1:3" x14ac:dyDescent="0.25">
      <c r="A894" s="14">
        <v>830106126</v>
      </c>
      <c r="B894" s="11" t="s">
        <v>1072</v>
      </c>
      <c r="C894" s="19">
        <v>0</v>
      </c>
    </row>
    <row r="895" spans="1:3" x14ac:dyDescent="0.25">
      <c r="A895" s="14">
        <v>816002230</v>
      </c>
      <c r="B895" s="11" t="s">
        <v>493</v>
      </c>
      <c r="C895" s="18">
        <v>1000000</v>
      </c>
    </row>
    <row r="896" spans="1:3" x14ac:dyDescent="0.25">
      <c r="A896" s="14">
        <v>860078767</v>
      </c>
      <c r="B896" s="11" t="s">
        <v>494</v>
      </c>
      <c r="C896" s="19">
        <v>1000000</v>
      </c>
    </row>
    <row r="897" spans="1:3" x14ac:dyDescent="0.25">
      <c r="A897" s="14">
        <v>418</v>
      </c>
      <c r="B897" s="11" t="s">
        <v>495</v>
      </c>
      <c r="C897" s="19">
        <v>1000000</v>
      </c>
    </row>
    <row r="898" spans="1:3" x14ac:dyDescent="0.25">
      <c r="A898" s="14">
        <v>901254059</v>
      </c>
      <c r="B898" s="11" t="s">
        <v>496</v>
      </c>
      <c r="C898" s="18">
        <v>1000000</v>
      </c>
    </row>
    <row r="899" spans="1:3" x14ac:dyDescent="0.25">
      <c r="A899" s="14">
        <v>51918441</v>
      </c>
      <c r="B899" s="11" t="s">
        <v>1165</v>
      </c>
      <c r="C899" s="18">
        <v>1000000</v>
      </c>
    </row>
    <row r="900" spans="1:3" x14ac:dyDescent="0.25">
      <c r="A900" s="14">
        <v>832009861</v>
      </c>
      <c r="B900" s="11" t="s">
        <v>815</v>
      </c>
      <c r="C900" s="19">
        <v>50000000</v>
      </c>
    </row>
    <row r="901" spans="1:3" x14ac:dyDescent="0.25">
      <c r="A901" s="14">
        <v>832009861</v>
      </c>
      <c r="B901" s="11" t="s">
        <v>815</v>
      </c>
      <c r="C901" s="19">
        <v>50000000</v>
      </c>
    </row>
    <row r="902" spans="1:3" x14ac:dyDescent="0.25">
      <c r="A902" s="14">
        <v>830047537</v>
      </c>
      <c r="B902" s="11" t="s">
        <v>873</v>
      </c>
      <c r="C902" s="19">
        <v>15000000</v>
      </c>
    </row>
    <row r="903" spans="1:3" x14ac:dyDescent="0.25">
      <c r="A903" s="14">
        <v>10</v>
      </c>
      <c r="B903" s="11" t="s">
        <v>1166</v>
      </c>
      <c r="C903" s="18">
        <v>1000000</v>
      </c>
    </row>
    <row r="904" spans="1:3" x14ac:dyDescent="0.25">
      <c r="A904" s="14">
        <v>1020748619</v>
      </c>
      <c r="B904" s="11" t="s">
        <v>497</v>
      </c>
      <c r="C904" s="18">
        <v>1000000</v>
      </c>
    </row>
    <row r="905" spans="1:3" x14ac:dyDescent="0.25">
      <c r="A905" s="14">
        <v>1026598717</v>
      </c>
      <c r="B905" s="11" t="s">
        <v>498</v>
      </c>
      <c r="C905" s="18">
        <v>1000000</v>
      </c>
    </row>
    <row r="906" spans="1:3" x14ac:dyDescent="0.25">
      <c r="A906" s="14">
        <v>1000185061</v>
      </c>
      <c r="B906" s="11" t="s">
        <v>499</v>
      </c>
      <c r="C906" s="19">
        <v>1000000</v>
      </c>
    </row>
    <row r="907" spans="1:3" x14ac:dyDescent="0.25">
      <c r="A907" s="14">
        <v>53061512</v>
      </c>
      <c r="B907" s="11" t="s">
        <v>500</v>
      </c>
      <c r="C907" s="19">
        <v>1000000</v>
      </c>
    </row>
    <row r="908" spans="1:3" x14ac:dyDescent="0.25">
      <c r="A908" s="14">
        <v>79526456</v>
      </c>
      <c r="B908" s="11" t="s">
        <v>501</v>
      </c>
      <c r="C908" s="18">
        <v>1000000</v>
      </c>
    </row>
    <row r="909" spans="1:3" x14ac:dyDescent="0.25">
      <c r="A909" s="14">
        <v>900511756</v>
      </c>
      <c r="B909" s="11" t="s">
        <v>502</v>
      </c>
      <c r="C909" s="19">
        <v>30000000</v>
      </c>
    </row>
    <row r="910" spans="1:3" x14ac:dyDescent="0.25">
      <c r="A910" s="14">
        <v>900511756</v>
      </c>
      <c r="B910" s="11" t="s">
        <v>502</v>
      </c>
      <c r="C910" s="19">
        <v>30000000</v>
      </c>
    </row>
    <row r="911" spans="1:3" x14ac:dyDescent="0.25">
      <c r="A911" s="14">
        <v>900511756</v>
      </c>
      <c r="B911" s="11" t="s">
        <v>502</v>
      </c>
      <c r="C911" s="19">
        <v>30000000</v>
      </c>
    </row>
    <row r="912" spans="1:3" x14ac:dyDescent="0.25">
      <c r="A912" s="14">
        <v>901390807</v>
      </c>
      <c r="B912" s="11" t="s">
        <v>503</v>
      </c>
      <c r="C912" s="19">
        <v>1000000</v>
      </c>
    </row>
    <row r="913" spans="1:3" x14ac:dyDescent="0.25">
      <c r="A913" s="14">
        <v>79262921</v>
      </c>
      <c r="B913" s="11" t="s">
        <v>504</v>
      </c>
      <c r="C913" s="19">
        <v>1000000</v>
      </c>
    </row>
    <row r="914" spans="1:3" x14ac:dyDescent="0.25">
      <c r="A914" s="14">
        <v>79262921</v>
      </c>
      <c r="B914" s="11" t="s">
        <v>504</v>
      </c>
      <c r="C914" s="19">
        <v>1000000</v>
      </c>
    </row>
    <row r="915" spans="1:3" x14ac:dyDescent="0.25">
      <c r="A915" s="14">
        <v>1121852144</v>
      </c>
      <c r="B915" s="11" t="s">
        <v>505</v>
      </c>
      <c r="C915" s="19">
        <v>1000000</v>
      </c>
    </row>
    <row r="916" spans="1:3" x14ac:dyDescent="0.25">
      <c r="A916" s="14">
        <v>900640669</v>
      </c>
      <c r="B916" s="11" t="s">
        <v>1167</v>
      </c>
      <c r="C916" s="18">
        <v>1000000</v>
      </c>
    </row>
    <row r="917" spans="1:3" x14ac:dyDescent="0.25">
      <c r="A917" s="14">
        <v>900640669</v>
      </c>
      <c r="B917" s="11" t="s">
        <v>1167</v>
      </c>
      <c r="C917" s="18">
        <v>1000000</v>
      </c>
    </row>
    <row r="918" spans="1:3" x14ac:dyDescent="0.25">
      <c r="A918" s="14">
        <v>1013642253</v>
      </c>
      <c r="B918" s="11" t="s">
        <v>506</v>
      </c>
      <c r="C918" s="18">
        <v>1000000</v>
      </c>
    </row>
    <row r="919" spans="1:3" x14ac:dyDescent="0.25">
      <c r="A919" s="14">
        <v>1005624341</v>
      </c>
      <c r="B919" s="11" t="s">
        <v>507</v>
      </c>
      <c r="C919" s="18">
        <v>1000000</v>
      </c>
    </row>
    <row r="920" spans="1:3" x14ac:dyDescent="0.25">
      <c r="A920" s="14">
        <v>450</v>
      </c>
      <c r="B920" s="11" t="s">
        <v>508</v>
      </c>
      <c r="C920" s="19">
        <v>1000000</v>
      </c>
    </row>
    <row r="921" spans="1:3" x14ac:dyDescent="0.25">
      <c r="A921" s="14">
        <v>51636012</v>
      </c>
      <c r="B921" s="11" t="s">
        <v>509</v>
      </c>
      <c r="C921" s="19">
        <v>1000000</v>
      </c>
    </row>
    <row r="922" spans="1:3" x14ac:dyDescent="0.25">
      <c r="A922" s="14">
        <v>51636012</v>
      </c>
      <c r="B922" s="11" t="s">
        <v>509</v>
      </c>
      <c r="C922" s="19">
        <v>1000000</v>
      </c>
    </row>
    <row r="923" spans="1:3" x14ac:dyDescent="0.25">
      <c r="A923" s="14">
        <v>226</v>
      </c>
      <c r="B923" s="11" t="s">
        <v>510</v>
      </c>
      <c r="C923" s="19">
        <v>1000000</v>
      </c>
    </row>
    <row r="924" spans="1:3" x14ac:dyDescent="0.25">
      <c r="A924" s="14">
        <v>80492996</v>
      </c>
      <c r="B924" s="11" t="s">
        <v>511</v>
      </c>
      <c r="C924" s="18">
        <v>1000000</v>
      </c>
    </row>
    <row r="925" spans="1:3" x14ac:dyDescent="0.25">
      <c r="A925" s="14">
        <v>80492996</v>
      </c>
      <c r="B925" s="11" t="s">
        <v>511</v>
      </c>
      <c r="C925" s="18">
        <v>1000000</v>
      </c>
    </row>
    <row r="926" spans="1:3" x14ac:dyDescent="0.25">
      <c r="A926" s="14">
        <v>91458460</v>
      </c>
      <c r="B926" s="11" t="s">
        <v>512</v>
      </c>
      <c r="C926" s="19">
        <v>1000000</v>
      </c>
    </row>
    <row r="927" spans="1:3" x14ac:dyDescent="0.25">
      <c r="A927" s="14">
        <v>91458470</v>
      </c>
      <c r="B927" s="11" t="s">
        <v>512</v>
      </c>
      <c r="C927" s="19">
        <v>1000000</v>
      </c>
    </row>
    <row r="928" spans="1:3" x14ac:dyDescent="0.25">
      <c r="A928" s="14">
        <v>41713296</v>
      </c>
      <c r="B928" s="11" t="s">
        <v>513</v>
      </c>
      <c r="C928" s="18">
        <v>1000000</v>
      </c>
    </row>
    <row r="929" spans="1:3" x14ac:dyDescent="0.25">
      <c r="A929" s="14">
        <v>1040498688</v>
      </c>
      <c r="B929" s="11" t="s">
        <v>514</v>
      </c>
      <c r="C929" s="19">
        <v>1000000</v>
      </c>
    </row>
    <row r="930" spans="1:3" x14ac:dyDescent="0.25">
      <c r="A930" s="14">
        <v>52052974</v>
      </c>
      <c r="B930" s="11" t="s">
        <v>515</v>
      </c>
      <c r="C930" s="19">
        <v>2000000</v>
      </c>
    </row>
    <row r="931" spans="1:3" x14ac:dyDescent="0.25">
      <c r="A931" s="14">
        <v>3456</v>
      </c>
      <c r="B931" s="11" t="s">
        <v>516</v>
      </c>
      <c r="C931" s="19">
        <v>1000000</v>
      </c>
    </row>
    <row r="932" spans="1:3" x14ac:dyDescent="0.25">
      <c r="A932" s="14">
        <v>51902605</v>
      </c>
      <c r="B932" s="11" t="s">
        <v>1168</v>
      </c>
      <c r="C932" s="19">
        <v>5000000</v>
      </c>
    </row>
    <row r="933" spans="1:3" x14ac:dyDescent="0.25">
      <c r="A933" s="14">
        <v>1031131204</v>
      </c>
      <c r="B933" s="11" t="s">
        <v>517</v>
      </c>
      <c r="C933" s="18">
        <v>1000000</v>
      </c>
    </row>
    <row r="934" spans="1:3" x14ac:dyDescent="0.25">
      <c r="A934" s="14">
        <v>1031131204</v>
      </c>
      <c r="B934" s="11" t="s">
        <v>517</v>
      </c>
      <c r="C934" s="18">
        <v>1000000</v>
      </c>
    </row>
    <row r="935" spans="1:3" x14ac:dyDescent="0.25">
      <c r="A935" s="14">
        <v>1049018901</v>
      </c>
      <c r="B935" s="11" t="s">
        <v>848</v>
      </c>
      <c r="C935" s="19">
        <v>0</v>
      </c>
    </row>
    <row r="936" spans="1:3" x14ac:dyDescent="0.25">
      <c r="A936" s="14">
        <v>39792306</v>
      </c>
      <c r="B936" s="11" t="s">
        <v>518</v>
      </c>
      <c r="C936" s="18">
        <v>1000000</v>
      </c>
    </row>
    <row r="937" spans="1:3" x14ac:dyDescent="0.25">
      <c r="A937" s="14">
        <v>1016040452</v>
      </c>
      <c r="B937" s="11" t="s">
        <v>519</v>
      </c>
      <c r="C937" s="18">
        <v>1000000</v>
      </c>
    </row>
    <row r="938" spans="1:3" x14ac:dyDescent="0.25">
      <c r="A938" s="14">
        <v>1020751633</v>
      </c>
      <c r="B938" s="11" t="s">
        <v>520</v>
      </c>
      <c r="C938" s="18">
        <v>1000000</v>
      </c>
    </row>
    <row r="939" spans="1:3" x14ac:dyDescent="0.25">
      <c r="A939" s="14">
        <v>1000859469</v>
      </c>
      <c r="B939" s="11" t="s">
        <v>1073</v>
      </c>
      <c r="C939" s="19">
        <v>1000000</v>
      </c>
    </row>
    <row r="940" spans="1:3" x14ac:dyDescent="0.25">
      <c r="A940" s="14">
        <v>146</v>
      </c>
      <c r="B940" s="11" t="s">
        <v>521</v>
      </c>
      <c r="C940" s="18">
        <v>1000000</v>
      </c>
    </row>
    <row r="941" spans="1:3" x14ac:dyDescent="0.25">
      <c r="A941" s="14">
        <v>147</v>
      </c>
      <c r="B941" s="11" t="s">
        <v>521</v>
      </c>
      <c r="C941" s="18">
        <v>1000000</v>
      </c>
    </row>
    <row r="942" spans="1:3" x14ac:dyDescent="0.25">
      <c r="A942" s="14">
        <v>901820420</v>
      </c>
      <c r="B942" s="11" t="s">
        <v>1019</v>
      </c>
      <c r="C942" s="19">
        <v>500000</v>
      </c>
    </row>
    <row r="943" spans="1:3" x14ac:dyDescent="0.25">
      <c r="A943" s="14">
        <v>901820420</v>
      </c>
      <c r="B943" s="11" t="s">
        <v>1019</v>
      </c>
      <c r="C943" s="19">
        <v>500000</v>
      </c>
    </row>
    <row r="944" spans="1:3" x14ac:dyDescent="0.25">
      <c r="A944" s="14">
        <v>901820420</v>
      </c>
      <c r="B944" s="11" t="s">
        <v>1019</v>
      </c>
      <c r="C944" s="19">
        <v>500000</v>
      </c>
    </row>
    <row r="945" spans="1:3" x14ac:dyDescent="0.25">
      <c r="A945" s="14">
        <v>10154193222</v>
      </c>
      <c r="B945" s="11" t="s">
        <v>522</v>
      </c>
      <c r="C945" s="19">
        <v>1000000</v>
      </c>
    </row>
    <row r="946" spans="1:3" x14ac:dyDescent="0.25">
      <c r="A946" s="14">
        <v>9001147906</v>
      </c>
      <c r="B946" s="11" t="s">
        <v>1169</v>
      </c>
      <c r="C946" s="18">
        <v>1000000</v>
      </c>
    </row>
    <row r="947" spans="1:3" x14ac:dyDescent="0.25">
      <c r="A947" s="14">
        <v>1005929397</v>
      </c>
      <c r="B947" s="11" t="s">
        <v>523</v>
      </c>
      <c r="C947" s="19">
        <v>1000000</v>
      </c>
    </row>
    <row r="948" spans="1:3" x14ac:dyDescent="0.25">
      <c r="A948" s="14">
        <v>2</v>
      </c>
      <c r="B948" s="11" t="s">
        <v>1170</v>
      </c>
      <c r="C948" s="18">
        <v>1000000</v>
      </c>
    </row>
    <row r="949" spans="1:3" x14ac:dyDescent="0.25">
      <c r="A949" s="14">
        <v>900669414</v>
      </c>
      <c r="B949" s="15" t="s">
        <v>524</v>
      </c>
      <c r="C949" s="19">
        <v>20000000</v>
      </c>
    </row>
    <row r="950" spans="1:3" x14ac:dyDescent="0.25">
      <c r="A950" s="14">
        <v>1024504568</v>
      </c>
      <c r="B950" s="11" t="s">
        <v>525</v>
      </c>
      <c r="C950" s="19">
        <v>1000000</v>
      </c>
    </row>
    <row r="951" spans="1:3" x14ac:dyDescent="0.25">
      <c r="A951" s="14">
        <v>900121964</v>
      </c>
      <c r="B951" s="11" t="s">
        <v>1021</v>
      </c>
      <c r="C951" s="19">
        <v>40000000</v>
      </c>
    </row>
    <row r="952" spans="1:3" x14ac:dyDescent="0.25">
      <c r="A952" s="14">
        <v>901144061</v>
      </c>
      <c r="B952" s="11" t="s">
        <v>879</v>
      </c>
      <c r="C952" s="19">
        <v>30000000</v>
      </c>
    </row>
    <row r="953" spans="1:3" x14ac:dyDescent="0.25">
      <c r="A953" s="14">
        <v>52429723</v>
      </c>
      <c r="B953" s="11" t="s">
        <v>526</v>
      </c>
      <c r="C953" s="19">
        <v>1000000</v>
      </c>
    </row>
    <row r="954" spans="1:3" x14ac:dyDescent="0.25">
      <c r="A954" s="14">
        <v>155</v>
      </c>
      <c r="B954" s="11" t="s">
        <v>527</v>
      </c>
      <c r="C954" s="19">
        <v>1000000</v>
      </c>
    </row>
    <row r="955" spans="1:3" x14ac:dyDescent="0.25">
      <c r="A955" s="14">
        <v>74392629</v>
      </c>
      <c r="B955" s="11" t="s">
        <v>527</v>
      </c>
      <c r="C955" s="19">
        <v>1000000</v>
      </c>
    </row>
    <row r="956" spans="1:3" x14ac:dyDescent="0.25">
      <c r="A956" s="14">
        <v>1050779230</v>
      </c>
      <c r="B956" s="11" t="s">
        <v>528</v>
      </c>
      <c r="C956" s="18">
        <v>1000000</v>
      </c>
    </row>
    <row r="957" spans="1:3" x14ac:dyDescent="0.25">
      <c r="A957" s="14">
        <v>230</v>
      </c>
      <c r="B957" s="11" t="s">
        <v>529</v>
      </c>
      <c r="C957" s="18">
        <v>1000000</v>
      </c>
    </row>
    <row r="958" spans="1:3" x14ac:dyDescent="0.25">
      <c r="A958" s="14">
        <v>194665</v>
      </c>
      <c r="B958" s="11" t="s">
        <v>530</v>
      </c>
      <c r="C958" s="19">
        <v>1000000</v>
      </c>
    </row>
    <row r="959" spans="1:3" x14ac:dyDescent="0.25">
      <c r="A959" s="14">
        <v>1015432892</v>
      </c>
      <c r="B959" s="11" t="s">
        <v>531</v>
      </c>
      <c r="C959" s="19">
        <v>1000000</v>
      </c>
    </row>
    <row r="960" spans="1:3" x14ac:dyDescent="0.25">
      <c r="A960" s="14">
        <v>1022363540</v>
      </c>
      <c r="B960" s="11" t="s">
        <v>532</v>
      </c>
      <c r="C960" s="18">
        <v>1000000</v>
      </c>
    </row>
    <row r="961" spans="1:3" x14ac:dyDescent="0.25">
      <c r="A961" s="14">
        <v>1022368599</v>
      </c>
      <c r="B961" s="11" t="s">
        <v>533</v>
      </c>
      <c r="C961" s="19">
        <v>1000000</v>
      </c>
    </row>
    <row r="962" spans="1:3" x14ac:dyDescent="0.25">
      <c r="A962" s="14">
        <v>80197543</v>
      </c>
      <c r="B962" s="11" t="s">
        <v>963</v>
      </c>
      <c r="C962" s="19">
        <v>1000000</v>
      </c>
    </row>
    <row r="963" spans="1:3" x14ac:dyDescent="0.25">
      <c r="A963" s="14">
        <v>79132212</v>
      </c>
      <c r="B963" s="11" t="s">
        <v>534</v>
      </c>
      <c r="C963" s="18">
        <v>1000000</v>
      </c>
    </row>
    <row r="964" spans="1:3" x14ac:dyDescent="0.25">
      <c r="A964" s="14">
        <v>79132212</v>
      </c>
      <c r="B964" s="11" t="s">
        <v>534</v>
      </c>
      <c r="C964" s="18">
        <v>1000000</v>
      </c>
    </row>
    <row r="965" spans="1:3" x14ac:dyDescent="0.25">
      <c r="A965" s="14">
        <v>79878167</v>
      </c>
      <c r="B965" s="11" t="s">
        <v>535</v>
      </c>
      <c r="C965" s="18">
        <v>1000000</v>
      </c>
    </row>
    <row r="966" spans="1:3" x14ac:dyDescent="0.25">
      <c r="A966" s="14">
        <v>86070261</v>
      </c>
      <c r="B966" s="11" t="s">
        <v>1171</v>
      </c>
      <c r="C966" s="19">
        <v>0</v>
      </c>
    </row>
    <row r="967" spans="1:3" x14ac:dyDescent="0.25">
      <c r="A967" s="14">
        <v>86070261</v>
      </c>
      <c r="B967" s="11" t="s">
        <v>1171</v>
      </c>
      <c r="C967" s="19">
        <v>0</v>
      </c>
    </row>
    <row r="968" spans="1:3" x14ac:dyDescent="0.25">
      <c r="A968" s="14">
        <v>79570084</v>
      </c>
      <c r="B968" s="11" t="s">
        <v>536</v>
      </c>
      <c r="C968" s="19">
        <v>1000000</v>
      </c>
    </row>
    <row r="969" spans="1:3" x14ac:dyDescent="0.25">
      <c r="A969" s="14">
        <v>79570084</v>
      </c>
      <c r="B969" s="11" t="s">
        <v>536</v>
      </c>
      <c r="C969" s="19">
        <v>1000000</v>
      </c>
    </row>
    <row r="970" spans="1:3" x14ac:dyDescent="0.25">
      <c r="A970" s="14">
        <v>180</v>
      </c>
      <c r="B970" s="11" t="s">
        <v>537</v>
      </c>
      <c r="C970" s="19">
        <v>1000000</v>
      </c>
    </row>
    <row r="971" spans="1:3" x14ac:dyDescent="0.25">
      <c r="A971" s="14">
        <v>901252688</v>
      </c>
      <c r="B971" s="11" t="s">
        <v>538</v>
      </c>
      <c r="C971" s="18">
        <v>1000000</v>
      </c>
    </row>
    <row r="972" spans="1:3" x14ac:dyDescent="0.25">
      <c r="A972" s="14">
        <v>41375050</v>
      </c>
      <c r="B972" s="11" t="s">
        <v>539</v>
      </c>
      <c r="C972" s="19">
        <v>1000000</v>
      </c>
    </row>
    <row r="973" spans="1:3" x14ac:dyDescent="0.25">
      <c r="A973" s="14">
        <v>39704283</v>
      </c>
      <c r="B973" s="11" t="s">
        <v>1172</v>
      </c>
      <c r="C973" s="19">
        <v>1000000</v>
      </c>
    </row>
    <row r="974" spans="1:3" x14ac:dyDescent="0.25">
      <c r="A974" s="14">
        <v>52300772</v>
      </c>
      <c r="B974" s="11" t="s">
        <v>791</v>
      </c>
      <c r="C974" s="19">
        <v>1000000</v>
      </c>
    </row>
    <row r="975" spans="1:3" x14ac:dyDescent="0.25">
      <c r="A975" s="14">
        <v>52888684</v>
      </c>
      <c r="B975" s="11" t="s">
        <v>540</v>
      </c>
      <c r="C975" s="19">
        <v>1000000</v>
      </c>
    </row>
    <row r="976" spans="1:3" x14ac:dyDescent="0.25">
      <c r="A976" s="14">
        <v>901179514</v>
      </c>
      <c r="B976" s="11" t="s">
        <v>541</v>
      </c>
      <c r="C976" s="19">
        <v>50000000</v>
      </c>
    </row>
    <row r="977" spans="1:3" x14ac:dyDescent="0.25">
      <c r="A977" s="14">
        <v>900540562</v>
      </c>
      <c r="B977" s="11" t="s">
        <v>542</v>
      </c>
      <c r="C977" s="19">
        <v>1000000</v>
      </c>
    </row>
    <row r="978" spans="1:3" x14ac:dyDescent="0.25">
      <c r="A978" s="14">
        <v>900540562</v>
      </c>
      <c r="B978" s="11" t="s">
        <v>542</v>
      </c>
      <c r="C978" s="19">
        <v>1000000</v>
      </c>
    </row>
    <row r="979" spans="1:3" x14ac:dyDescent="0.25">
      <c r="A979" s="14">
        <v>901727520</v>
      </c>
      <c r="B979" s="11" t="s">
        <v>543</v>
      </c>
      <c r="C979" s="19">
        <v>1000000</v>
      </c>
    </row>
    <row r="980" spans="1:3" x14ac:dyDescent="0.25">
      <c r="A980" s="14">
        <v>901275108</v>
      </c>
      <c r="B980" s="11" t="s">
        <v>544</v>
      </c>
      <c r="C980" s="18">
        <v>1000000</v>
      </c>
    </row>
    <row r="981" spans="1:3" x14ac:dyDescent="0.25">
      <c r="A981" s="14">
        <v>168</v>
      </c>
      <c r="B981" s="11" t="s">
        <v>545</v>
      </c>
      <c r="C981" s="18">
        <v>1000000</v>
      </c>
    </row>
    <row r="982" spans="1:3" x14ac:dyDescent="0.25">
      <c r="A982" s="14">
        <v>901422051</v>
      </c>
      <c r="B982" s="11" t="s">
        <v>895</v>
      </c>
      <c r="C982" s="19">
        <v>0</v>
      </c>
    </row>
    <row r="983" spans="1:3" x14ac:dyDescent="0.25">
      <c r="A983" s="14">
        <v>901270637</v>
      </c>
      <c r="B983" s="11" t="s">
        <v>1173</v>
      </c>
      <c r="C983" s="18">
        <v>1000000</v>
      </c>
    </row>
    <row r="984" spans="1:3" x14ac:dyDescent="0.25">
      <c r="A984" s="14">
        <v>51871864</v>
      </c>
      <c r="B984" s="11" t="s">
        <v>1023</v>
      </c>
      <c r="C984" s="19">
        <v>5000000</v>
      </c>
    </row>
    <row r="985" spans="1:3" x14ac:dyDescent="0.25">
      <c r="A985" s="14">
        <v>901213855</v>
      </c>
      <c r="B985" s="11" t="s">
        <v>546</v>
      </c>
      <c r="C985" s="19">
        <v>1000000</v>
      </c>
    </row>
    <row r="986" spans="1:3" x14ac:dyDescent="0.25">
      <c r="A986" s="14">
        <v>135</v>
      </c>
      <c r="B986" s="11" t="s">
        <v>547</v>
      </c>
      <c r="C986" s="18">
        <v>1000000</v>
      </c>
    </row>
    <row r="987" spans="1:3" x14ac:dyDescent="0.25">
      <c r="A987" s="14">
        <v>13516144</v>
      </c>
      <c r="B987" s="11" t="s">
        <v>1174</v>
      </c>
      <c r="C987" s="18">
        <v>1000000</v>
      </c>
    </row>
    <row r="988" spans="1:3" x14ac:dyDescent="0.25">
      <c r="A988" s="14">
        <v>420</v>
      </c>
      <c r="B988" s="11" t="s">
        <v>548</v>
      </c>
      <c r="C988" s="19">
        <v>1000000</v>
      </c>
    </row>
    <row r="989" spans="1:3" x14ac:dyDescent="0.25">
      <c r="A989" s="14">
        <v>80818857</v>
      </c>
      <c r="B989" s="11" t="s">
        <v>1175</v>
      </c>
      <c r="C989" s="18">
        <v>1000000</v>
      </c>
    </row>
    <row r="990" spans="1:3" x14ac:dyDescent="0.25">
      <c r="A990" s="14">
        <v>166</v>
      </c>
      <c r="B990" s="11" t="s">
        <v>549</v>
      </c>
      <c r="C990" s="18">
        <v>4000000</v>
      </c>
    </row>
    <row r="991" spans="1:3" x14ac:dyDescent="0.25">
      <c r="A991" s="14">
        <v>1033819154</v>
      </c>
      <c r="B991" s="11" t="s">
        <v>549</v>
      </c>
      <c r="C991" s="19">
        <v>4000000</v>
      </c>
    </row>
    <row r="992" spans="1:3" x14ac:dyDescent="0.25">
      <c r="A992" s="14">
        <v>1033819154</v>
      </c>
      <c r="B992" s="11" t="s">
        <v>549</v>
      </c>
      <c r="C992" s="19">
        <v>4000000</v>
      </c>
    </row>
    <row r="993" spans="1:3" x14ac:dyDescent="0.25">
      <c r="A993" s="14">
        <v>17325742</v>
      </c>
      <c r="B993" s="11" t="s">
        <v>550</v>
      </c>
      <c r="C993" s="18">
        <v>1000000</v>
      </c>
    </row>
    <row r="994" spans="1:3" x14ac:dyDescent="0.25">
      <c r="A994" s="14">
        <v>13501368</v>
      </c>
      <c r="B994" s="11" t="s">
        <v>937</v>
      </c>
      <c r="C994" s="19">
        <v>0</v>
      </c>
    </row>
    <row r="995" spans="1:3" x14ac:dyDescent="0.25">
      <c r="A995" s="14">
        <v>1072446372</v>
      </c>
      <c r="B995" s="11" t="s">
        <v>551</v>
      </c>
      <c r="C995" s="19">
        <v>1000000</v>
      </c>
    </row>
    <row r="996" spans="1:3" x14ac:dyDescent="0.25">
      <c r="A996" s="14">
        <v>3105729695</v>
      </c>
      <c r="B996" s="11" t="s">
        <v>552</v>
      </c>
      <c r="C996" s="19">
        <v>1000000</v>
      </c>
    </row>
    <row r="997" spans="1:3" x14ac:dyDescent="0.25">
      <c r="A997" s="14">
        <v>52183293</v>
      </c>
      <c r="B997" s="11" t="s">
        <v>553</v>
      </c>
      <c r="C997" s="19">
        <v>1000000</v>
      </c>
    </row>
    <row r="998" spans="1:3" x14ac:dyDescent="0.25">
      <c r="A998" s="14">
        <v>28821756</v>
      </c>
      <c r="B998" s="11" t="s">
        <v>554</v>
      </c>
      <c r="C998" s="18">
        <v>1000000</v>
      </c>
    </row>
    <row r="999" spans="1:3" x14ac:dyDescent="0.25">
      <c r="A999" s="14">
        <v>1018426426</v>
      </c>
      <c r="B999" s="11" t="s">
        <v>555</v>
      </c>
      <c r="C999" s="19">
        <v>1000000</v>
      </c>
    </row>
    <row r="1000" spans="1:3" x14ac:dyDescent="0.25">
      <c r="A1000" s="14">
        <v>35462974</v>
      </c>
      <c r="B1000" s="11" t="s">
        <v>556</v>
      </c>
      <c r="C1000" s="19">
        <v>1000000</v>
      </c>
    </row>
    <row r="1001" spans="1:3" x14ac:dyDescent="0.25">
      <c r="A1001" s="14">
        <v>1007333077</v>
      </c>
      <c r="B1001" s="11" t="s">
        <v>557</v>
      </c>
      <c r="C1001" s="19">
        <v>1000000</v>
      </c>
    </row>
    <row r="1002" spans="1:3" x14ac:dyDescent="0.25">
      <c r="A1002" s="14">
        <v>51889864</v>
      </c>
      <c r="B1002" s="11" t="s">
        <v>558</v>
      </c>
      <c r="C1002" s="19">
        <v>3000000</v>
      </c>
    </row>
    <row r="1003" spans="1:3" x14ac:dyDescent="0.25">
      <c r="A1003" s="14">
        <v>466</v>
      </c>
      <c r="B1003" s="11" t="s">
        <v>559</v>
      </c>
      <c r="C1003" s="19">
        <v>1000000</v>
      </c>
    </row>
    <row r="1004" spans="1:3" x14ac:dyDescent="0.25">
      <c r="A1004" s="14">
        <v>24047748</v>
      </c>
      <c r="B1004" s="11" t="s">
        <v>560</v>
      </c>
      <c r="C1004" s="19">
        <v>1000000</v>
      </c>
    </row>
    <row r="1005" spans="1:3" x14ac:dyDescent="0.25">
      <c r="A1005" s="14">
        <v>5555</v>
      </c>
      <c r="B1005" s="11" t="s">
        <v>1176</v>
      </c>
      <c r="C1005" s="18">
        <v>1000000</v>
      </c>
    </row>
    <row r="1006" spans="1:3" x14ac:dyDescent="0.25">
      <c r="A1006" s="14">
        <v>59677169</v>
      </c>
      <c r="B1006" s="11" t="s">
        <v>561</v>
      </c>
      <c r="C1006" s="18">
        <v>1000000</v>
      </c>
    </row>
    <row r="1007" spans="1:3" x14ac:dyDescent="0.25">
      <c r="A1007" s="14">
        <v>59677169</v>
      </c>
      <c r="B1007" s="11" t="s">
        <v>561</v>
      </c>
      <c r="C1007" s="18">
        <v>1000000</v>
      </c>
    </row>
    <row r="1008" spans="1:3" x14ac:dyDescent="0.25">
      <c r="A1008" s="14">
        <v>39686223</v>
      </c>
      <c r="B1008" s="11" t="s">
        <v>562</v>
      </c>
      <c r="C1008" s="19">
        <v>1000000</v>
      </c>
    </row>
    <row r="1009" spans="1:3" x14ac:dyDescent="0.25">
      <c r="A1009" s="14">
        <v>52310507</v>
      </c>
      <c r="B1009" s="11" t="s">
        <v>1177</v>
      </c>
      <c r="C1009" s="18">
        <v>4000000</v>
      </c>
    </row>
    <row r="1010" spans="1:3" x14ac:dyDescent="0.25">
      <c r="A1010" s="14">
        <v>51553563</v>
      </c>
      <c r="B1010" s="11" t="s">
        <v>563</v>
      </c>
      <c r="C1010" s="19">
        <v>1000000</v>
      </c>
    </row>
    <row r="1011" spans="1:3" x14ac:dyDescent="0.25">
      <c r="A1011" s="14">
        <v>1032428461</v>
      </c>
      <c r="B1011" s="11" t="s">
        <v>564</v>
      </c>
      <c r="C1011" s="19">
        <v>1000000</v>
      </c>
    </row>
    <row r="1012" spans="1:3" x14ac:dyDescent="0.25">
      <c r="A1012" s="14">
        <v>52972205</v>
      </c>
      <c r="B1012" s="11" t="s">
        <v>566</v>
      </c>
      <c r="C1012" s="18">
        <v>5000000</v>
      </c>
    </row>
    <row r="1013" spans="1:3" x14ac:dyDescent="0.25">
      <c r="A1013" s="14">
        <v>93205060</v>
      </c>
      <c r="B1013" s="11" t="s">
        <v>567</v>
      </c>
      <c r="C1013" s="18">
        <v>1000000</v>
      </c>
    </row>
    <row r="1014" spans="1:3" x14ac:dyDescent="0.25">
      <c r="A1014" s="14">
        <v>60412164</v>
      </c>
      <c r="B1014" s="11" t="s">
        <v>568</v>
      </c>
      <c r="C1014" s="19">
        <v>1000000</v>
      </c>
    </row>
    <row r="1015" spans="1:3" x14ac:dyDescent="0.25">
      <c r="A1015" s="14">
        <v>60290618</v>
      </c>
      <c r="B1015" s="11" t="s">
        <v>569</v>
      </c>
      <c r="C1015" s="19">
        <v>1000000</v>
      </c>
    </row>
    <row r="1016" spans="1:3" x14ac:dyDescent="0.25">
      <c r="A1016" s="14">
        <v>358</v>
      </c>
      <c r="B1016" s="11" t="s">
        <v>570</v>
      </c>
      <c r="C1016" s="19">
        <v>1000000</v>
      </c>
    </row>
    <row r="1017" spans="1:3" x14ac:dyDescent="0.25">
      <c r="A1017" s="14">
        <v>353</v>
      </c>
      <c r="B1017" s="11" t="s">
        <v>570</v>
      </c>
      <c r="C1017" s="19">
        <v>1000000</v>
      </c>
    </row>
    <row r="1018" spans="1:3" x14ac:dyDescent="0.25">
      <c r="A1018" s="14">
        <v>52701762</v>
      </c>
      <c r="B1018" s="11" t="s">
        <v>571</v>
      </c>
      <c r="C1018" s="18">
        <v>1000000</v>
      </c>
    </row>
    <row r="1019" spans="1:3" x14ac:dyDescent="0.25">
      <c r="A1019" s="14">
        <v>901301210</v>
      </c>
      <c r="B1019" s="11" t="s">
        <v>572</v>
      </c>
      <c r="C1019" s="18">
        <v>1000000</v>
      </c>
    </row>
    <row r="1020" spans="1:3" x14ac:dyDescent="0.25">
      <c r="A1020" s="14">
        <v>901301210</v>
      </c>
      <c r="B1020" s="11" t="s">
        <v>572</v>
      </c>
      <c r="C1020" s="18">
        <v>1000000</v>
      </c>
    </row>
    <row r="1021" spans="1:3" x14ac:dyDescent="0.25">
      <c r="A1021" s="14">
        <v>123456</v>
      </c>
      <c r="B1021" s="11" t="s">
        <v>573</v>
      </c>
      <c r="C1021" s="18">
        <v>1000000</v>
      </c>
    </row>
    <row r="1022" spans="1:3" x14ac:dyDescent="0.25">
      <c r="A1022" s="14">
        <v>12345678</v>
      </c>
      <c r="B1022" s="11" t="s">
        <v>573</v>
      </c>
      <c r="C1022" s="18">
        <v>1000000</v>
      </c>
    </row>
    <row r="1023" spans="1:3" x14ac:dyDescent="0.25">
      <c r="A1023" s="14">
        <v>38263215</v>
      </c>
      <c r="B1023" s="11" t="s">
        <v>1178</v>
      </c>
      <c r="C1023" s="18">
        <v>1000000</v>
      </c>
    </row>
    <row r="1024" spans="1:3" x14ac:dyDescent="0.25">
      <c r="A1024" s="14">
        <v>1030589647</v>
      </c>
      <c r="B1024" s="11" t="s">
        <v>965</v>
      </c>
      <c r="C1024" s="19">
        <v>2000000</v>
      </c>
    </row>
    <row r="1025" spans="1:3" x14ac:dyDescent="0.25">
      <c r="A1025" s="14">
        <v>1110501064</v>
      </c>
      <c r="B1025" s="11" t="s">
        <v>574</v>
      </c>
      <c r="C1025" s="19">
        <v>1000000</v>
      </c>
    </row>
    <row r="1026" spans="1:3" x14ac:dyDescent="0.25">
      <c r="A1026" s="14">
        <v>52173256</v>
      </c>
      <c r="B1026" s="11" t="s">
        <v>1179</v>
      </c>
      <c r="C1026" s="18">
        <v>1000000</v>
      </c>
    </row>
    <row r="1027" spans="1:3" x14ac:dyDescent="0.25">
      <c r="A1027" s="14">
        <v>51716156</v>
      </c>
      <c r="B1027" s="11" t="s">
        <v>575</v>
      </c>
      <c r="C1027" s="18">
        <v>1000000</v>
      </c>
    </row>
    <row r="1028" spans="1:3" x14ac:dyDescent="0.25">
      <c r="A1028" s="14">
        <v>901473991</v>
      </c>
      <c r="B1028" s="11" t="s">
        <v>576</v>
      </c>
      <c r="C1028" s="19">
        <v>1000000</v>
      </c>
    </row>
    <row r="1029" spans="1:3" x14ac:dyDescent="0.25">
      <c r="A1029" s="14">
        <v>1072702295</v>
      </c>
      <c r="B1029" s="11" t="s">
        <v>577</v>
      </c>
      <c r="C1029" s="19">
        <v>1000000</v>
      </c>
    </row>
    <row r="1030" spans="1:3" x14ac:dyDescent="0.25">
      <c r="A1030" s="14">
        <v>12364598</v>
      </c>
      <c r="B1030" s="11" t="s">
        <v>578</v>
      </c>
      <c r="C1030" s="19">
        <v>1000000</v>
      </c>
    </row>
    <row r="1031" spans="1:3" x14ac:dyDescent="0.25">
      <c r="A1031" s="14">
        <v>12364598</v>
      </c>
      <c r="B1031" s="11" t="s">
        <v>578</v>
      </c>
      <c r="C1031" s="19">
        <v>1000000</v>
      </c>
    </row>
    <row r="1032" spans="1:3" x14ac:dyDescent="0.25">
      <c r="A1032" s="14">
        <v>139</v>
      </c>
      <c r="B1032" s="11" t="s">
        <v>579</v>
      </c>
      <c r="C1032" s="18">
        <v>1000000</v>
      </c>
    </row>
    <row r="1033" spans="1:3" x14ac:dyDescent="0.25">
      <c r="A1033" s="14">
        <v>1030592719</v>
      </c>
      <c r="B1033" s="11" t="s">
        <v>580</v>
      </c>
      <c r="C1033" s="19">
        <v>1000000</v>
      </c>
    </row>
    <row r="1034" spans="1:3" x14ac:dyDescent="0.25">
      <c r="A1034" s="14">
        <v>179</v>
      </c>
      <c r="B1034" s="11" t="s">
        <v>581</v>
      </c>
      <c r="C1034" s="18">
        <v>1000000</v>
      </c>
    </row>
    <row r="1035" spans="1:3" x14ac:dyDescent="0.25">
      <c r="A1035" s="14">
        <v>80001539</v>
      </c>
      <c r="B1035" s="11" t="s">
        <v>582</v>
      </c>
      <c r="C1035" s="19">
        <v>1000000</v>
      </c>
    </row>
    <row r="1036" spans="1:3" x14ac:dyDescent="0.25">
      <c r="A1036" s="14">
        <v>80431678</v>
      </c>
      <c r="B1036" s="11" t="s">
        <v>583</v>
      </c>
      <c r="C1036" s="19">
        <v>1000000</v>
      </c>
    </row>
    <row r="1037" spans="1:3" x14ac:dyDescent="0.25">
      <c r="A1037" s="14">
        <v>375900</v>
      </c>
      <c r="B1037" s="11" t="s">
        <v>1180</v>
      </c>
      <c r="C1037" s="18">
        <v>1000000</v>
      </c>
    </row>
    <row r="1038" spans="1:3" x14ac:dyDescent="0.25">
      <c r="A1038" s="14">
        <v>80441106</v>
      </c>
      <c r="B1038" s="11" t="s">
        <v>584</v>
      </c>
      <c r="C1038" s="19">
        <v>1000000</v>
      </c>
    </row>
    <row r="1039" spans="1:3" x14ac:dyDescent="0.25">
      <c r="A1039" s="14">
        <v>900639461</v>
      </c>
      <c r="B1039" s="11" t="s">
        <v>1181</v>
      </c>
      <c r="C1039" s="18">
        <v>1000000</v>
      </c>
    </row>
    <row r="1040" spans="1:3" x14ac:dyDescent="0.25">
      <c r="A1040" s="14">
        <v>901161480</v>
      </c>
      <c r="B1040" s="11" t="s">
        <v>585</v>
      </c>
      <c r="C1040" s="18">
        <v>1000000</v>
      </c>
    </row>
    <row r="1041" spans="1:3" x14ac:dyDescent="0.25">
      <c r="A1041" s="14">
        <v>800106774</v>
      </c>
      <c r="B1041" s="11" t="s">
        <v>586</v>
      </c>
      <c r="C1041" s="19">
        <v>1000000</v>
      </c>
    </row>
    <row r="1042" spans="1:3" x14ac:dyDescent="0.25">
      <c r="A1042" s="14">
        <v>901556595</v>
      </c>
      <c r="B1042" s="11" t="s">
        <v>587</v>
      </c>
      <c r="C1042" s="19">
        <v>8000000</v>
      </c>
    </row>
    <row r="1043" spans="1:3" x14ac:dyDescent="0.25">
      <c r="A1043" s="14">
        <v>900301742</v>
      </c>
      <c r="B1043" s="11" t="s">
        <v>588</v>
      </c>
      <c r="C1043" s="19">
        <v>1000000</v>
      </c>
    </row>
    <row r="1044" spans="1:3" x14ac:dyDescent="0.25">
      <c r="A1044" s="14">
        <v>901197122</v>
      </c>
      <c r="B1044" s="11" t="s">
        <v>589</v>
      </c>
      <c r="C1044" s="19">
        <v>15000000</v>
      </c>
    </row>
    <row r="1045" spans="1:3" x14ac:dyDescent="0.25">
      <c r="A1045" s="14">
        <v>901197122</v>
      </c>
      <c r="B1045" s="11" t="s">
        <v>589</v>
      </c>
      <c r="C1045" s="19">
        <v>15000000</v>
      </c>
    </row>
    <row r="1046" spans="1:3" x14ac:dyDescent="0.25">
      <c r="A1046" s="14">
        <v>900639989</v>
      </c>
      <c r="B1046" s="11" t="s">
        <v>590</v>
      </c>
      <c r="C1046" s="19">
        <v>8000000</v>
      </c>
    </row>
    <row r="1047" spans="1:3" x14ac:dyDescent="0.25">
      <c r="A1047" s="14">
        <v>900639989</v>
      </c>
      <c r="B1047" s="11" t="s">
        <v>590</v>
      </c>
      <c r="C1047" s="19">
        <v>8000000</v>
      </c>
    </row>
    <row r="1048" spans="1:3" x14ac:dyDescent="0.25">
      <c r="A1048" s="14">
        <v>900639989</v>
      </c>
      <c r="B1048" s="11" t="s">
        <v>590</v>
      </c>
      <c r="C1048" s="19">
        <v>8000000</v>
      </c>
    </row>
    <row r="1049" spans="1:3" x14ac:dyDescent="0.25">
      <c r="A1049" s="14">
        <v>900639989</v>
      </c>
      <c r="B1049" s="11" t="s">
        <v>590</v>
      </c>
      <c r="C1049" s="19">
        <v>8000000</v>
      </c>
    </row>
    <row r="1050" spans="1:3" x14ac:dyDescent="0.25">
      <c r="A1050" s="14">
        <v>901382343</v>
      </c>
      <c r="B1050" s="11" t="s">
        <v>591</v>
      </c>
      <c r="C1050" s="18">
        <v>1000000</v>
      </c>
    </row>
    <row r="1051" spans="1:3" x14ac:dyDescent="0.25">
      <c r="A1051" s="14">
        <v>901382343</v>
      </c>
      <c r="B1051" s="11" t="s">
        <v>591</v>
      </c>
      <c r="C1051" s="18">
        <v>1000000</v>
      </c>
    </row>
    <row r="1052" spans="1:3" x14ac:dyDescent="0.25">
      <c r="A1052" s="14">
        <v>901995169</v>
      </c>
      <c r="B1052" s="11" t="s">
        <v>1074</v>
      </c>
      <c r="C1052" s="19">
        <v>1000000</v>
      </c>
    </row>
    <row r="1053" spans="1:3" x14ac:dyDescent="0.25">
      <c r="A1053" s="14">
        <v>374</v>
      </c>
      <c r="B1053" s="11" t="s">
        <v>592</v>
      </c>
      <c r="C1053" s="19">
        <v>1000000</v>
      </c>
    </row>
    <row r="1054" spans="1:3" x14ac:dyDescent="0.25">
      <c r="A1054" s="14">
        <v>357</v>
      </c>
      <c r="B1054" s="11" t="s">
        <v>593</v>
      </c>
      <c r="C1054" s="19">
        <v>1000000</v>
      </c>
    </row>
    <row r="1055" spans="1:3" x14ac:dyDescent="0.25">
      <c r="A1055" s="14">
        <v>94041465</v>
      </c>
      <c r="B1055" s="11" t="s">
        <v>594</v>
      </c>
      <c r="C1055" s="19">
        <v>1000000</v>
      </c>
    </row>
    <row r="1056" spans="1:3" x14ac:dyDescent="0.25">
      <c r="A1056" s="14">
        <v>1014184975</v>
      </c>
      <c r="B1056" s="11" t="s">
        <v>595</v>
      </c>
      <c r="C1056" s="19">
        <v>1000000</v>
      </c>
    </row>
    <row r="1057" spans="1:3" x14ac:dyDescent="0.25">
      <c r="A1057" s="14">
        <v>1014184975</v>
      </c>
      <c r="B1057" s="11" t="s">
        <v>595</v>
      </c>
      <c r="C1057" s="19">
        <v>1000000</v>
      </c>
    </row>
    <row r="1058" spans="1:3" x14ac:dyDescent="0.25">
      <c r="A1058" s="14">
        <v>79130858</v>
      </c>
      <c r="B1058" s="11" t="s">
        <v>1025</v>
      </c>
      <c r="C1058" s="19">
        <v>0</v>
      </c>
    </row>
    <row r="1059" spans="1:3" x14ac:dyDescent="0.25">
      <c r="A1059" s="14">
        <v>19494977</v>
      </c>
      <c r="B1059" s="11" t="s">
        <v>596</v>
      </c>
      <c r="C1059" s="18">
        <v>1000000</v>
      </c>
    </row>
    <row r="1060" spans="1:3" x14ac:dyDescent="0.25">
      <c r="A1060" s="14">
        <v>1022365147</v>
      </c>
      <c r="B1060" s="11" t="s">
        <v>846</v>
      </c>
      <c r="C1060" s="19">
        <v>0</v>
      </c>
    </row>
    <row r="1061" spans="1:3" x14ac:dyDescent="0.25">
      <c r="A1061" s="14">
        <v>364</v>
      </c>
      <c r="B1061" s="11" t="s">
        <v>597</v>
      </c>
      <c r="C1061" s="19">
        <v>1000000</v>
      </c>
    </row>
    <row r="1062" spans="1:3" x14ac:dyDescent="0.25">
      <c r="A1062" s="14">
        <v>900014020</v>
      </c>
      <c r="B1062" s="11" t="s">
        <v>598</v>
      </c>
      <c r="C1062" s="19">
        <v>1000000</v>
      </c>
    </row>
    <row r="1063" spans="1:3" x14ac:dyDescent="0.25">
      <c r="A1063" s="14">
        <v>51854894</v>
      </c>
      <c r="B1063" s="11" t="s">
        <v>599</v>
      </c>
      <c r="C1063" s="19">
        <v>2000000</v>
      </c>
    </row>
    <row r="1064" spans="1:3" x14ac:dyDescent="0.25">
      <c r="A1064" s="14">
        <v>448</v>
      </c>
      <c r="B1064" s="11" t="s">
        <v>600</v>
      </c>
      <c r="C1064" s="19">
        <v>1000000</v>
      </c>
    </row>
    <row r="1065" spans="1:3" x14ac:dyDescent="0.25">
      <c r="A1065" s="14">
        <v>901761294</v>
      </c>
      <c r="B1065" s="11" t="s">
        <v>601</v>
      </c>
      <c r="C1065" s="18">
        <v>1500000</v>
      </c>
    </row>
    <row r="1066" spans="1:3" x14ac:dyDescent="0.25">
      <c r="A1066" s="14">
        <v>52149070</v>
      </c>
      <c r="B1066" s="11" t="s">
        <v>602</v>
      </c>
      <c r="C1066" s="18">
        <v>1000000</v>
      </c>
    </row>
    <row r="1067" spans="1:3" x14ac:dyDescent="0.25">
      <c r="A1067" s="14">
        <v>900630471</v>
      </c>
      <c r="B1067" s="11" t="s">
        <v>1027</v>
      </c>
      <c r="C1067" s="19">
        <v>1000000</v>
      </c>
    </row>
    <row r="1068" spans="1:3" x14ac:dyDescent="0.25">
      <c r="A1068" s="14">
        <v>138</v>
      </c>
      <c r="B1068" s="11" t="s">
        <v>603</v>
      </c>
      <c r="C1068" s="18">
        <v>1000000</v>
      </c>
    </row>
    <row r="1069" spans="1:3" x14ac:dyDescent="0.25">
      <c r="A1069" s="14">
        <v>900936745</v>
      </c>
      <c r="B1069" s="11" t="s">
        <v>604</v>
      </c>
      <c r="C1069" s="18">
        <v>1000000</v>
      </c>
    </row>
    <row r="1070" spans="1:3" x14ac:dyDescent="0.25">
      <c r="A1070" s="14">
        <v>901164469</v>
      </c>
      <c r="B1070" s="11" t="s">
        <v>819</v>
      </c>
      <c r="C1070" s="19">
        <v>3000000</v>
      </c>
    </row>
    <row r="1071" spans="1:3" x14ac:dyDescent="0.25">
      <c r="A1071" s="14">
        <v>809000469</v>
      </c>
      <c r="B1071" s="11" t="s">
        <v>605</v>
      </c>
      <c r="C1071" s="18">
        <v>1000000</v>
      </c>
    </row>
    <row r="1072" spans="1:3" x14ac:dyDescent="0.25">
      <c r="A1072" s="14">
        <v>809000469</v>
      </c>
      <c r="B1072" s="11" t="s">
        <v>605</v>
      </c>
      <c r="C1072" s="18">
        <v>1000000</v>
      </c>
    </row>
    <row r="1073" spans="1:3" x14ac:dyDescent="0.25">
      <c r="A1073" s="14">
        <v>901007775</v>
      </c>
      <c r="B1073" s="11" t="s">
        <v>606</v>
      </c>
      <c r="C1073" s="18">
        <v>1000000</v>
      </c>
    </row>
    <row r="1074" spans="1:3" x14ac:dyDescent="0.25">
      <c r="A1074" s="14">
        <v>901259341</v>
      </c>
      <c r="B1074" s="11" t="s">
        <v>607</v>
      </c>
      <c r="C1074" s="19">
        <v>3000000</v>
      </c>
    </row>
    <row r="1075" spans="1:3" x14ac:dyDescent="0.25">
      <c r="A1075" s="14">
        <v>901259341</v>
      </c>
      <c r="B1075" s="11" t="s">
        <v>607</v>
      </c>
      <c r="C1075" s="19">
        <v>3000000</v>
      </c>
    </row>
    <row r="1076" spans="1:3" x14ac:dyDescent="0.25">
      <c r="A1076" s="14">
        <v>901259341</v>
      </c>
      <c r="B1076" s="11" t="s">
        <v>607</v>
      </c>
      <c r="C1076" s="19">
        <v>3000000</v>
      </c>
    </row>
    <row r="1077" spans="1:3" x14ac:dyDescent="0.25">
      <c r="A1077" s="14">
        <v>901736769</v>
      </c>
      <c r="B1077" s="11" t="s">
        <v>882</v>
      </c>
      <c r="C1077" s="19">
        <v>2000000</v>
      </c>
    </row>
    <row r="1078" spans="1:3" x14ac:dyDescent="0.25">
      <c r="A1078" s="14">
        <v>52785739</v>
      </c>
      <c r="B1078" s="11" t="s">
        <v>608</v>
      </c>
      <c r="C1078" s="19">
        <v>1000000</v>
      </c>
    </row>
    <row r="1079" spans="1:3" x14ac:dyDescent="0.25">
      <c r="A1079" s="14">
        <v>52077634</v>
      </c>
      <c r="B1079" s="11" t="s">
        <v>609</v>
      </c>
      <c r="C1079" s="19">
        <v>1000000</v>
      </c>
    </row>
    <row r="1080" spans="1:3" x14ac:dyDescent="0.25">
      <c r="A1080" s="14">
        <v>52191299</v>
      </c>
      <c r="B1080" s="11" t="s">
        <v>610</v>
      </c>
      <c r="C1080" s="18">
        <v>1000000</v>
      </c>
    </row>
    <row r="1081" spans="1:3" x14ac:dyDescent="0.25">
      <c r="A1081" s="14">
        <v>80272032</v>
      </c>
      <c r="B1081" s="11" t="s">
        <v>1182</v>
      </c>
      <c r="C1081" s="18">
        <v>1000000</v>
      </c>
    </row>
    <row r="1082" spans="1:3" x14ac:dyDescent="0.25">
      <c r="A1082" s="14">
        <v>80272032</v>
      </c>
      <c r="B1082" s="11" t="s">
        <v>1182</v>
      </c>
      <c r="C1082" s="18">
        <v>1000000</v>
      </c>
    </row>
    <row r="1083" spans="1:3" x14ac:dyDescent="0.25">
      <c r="A1083" s="14">
        <v>1192741280</v>
      </c>
      <c r="B1083" s="11" t="s">
        <v>611</v>
      </c>
      <c r="C1083" s="18">
        <v>1000000</v>
      </c>
    </row>
    <row r="1084" spans="1:3" x14ac:dyDescent="0.25">
      <c r="A1084" s="14">
        <v>1022965637</v>
      </c>
      <c r="B1084" s="11" t="s">
        <v>1183</v>
      </c>
      <c r="C1084" s="19">
        <v>0</v>
      </c>
    </row>
    <row r="1085" spans="1:3" x14ac:dyDescent="0.25">
      <c r="A1085" s="14">
        <v>901156100</v>
      </c>
      <c r="B1085" s="11" t="s">
        <v>612</v>
      </c>
      <c r="C1085" s="19">
        <v>1000000</v>
      </c>
    </row>
    <row r="1086" spans="1:3" x14ac:dyDescent="0.25">
      <c r="A1086" s="14">
        <v>52935090</v>
      </c>
      <c r="B1086" s="11" t="s">
        <v>613</v>
      </c>
      <c r="C1086" s="19">
        <v>1000000</v>
      </c>
    </row>
    <row r="1087" spans="1:3" x14ac:dyDescent="0.25">
      <c r="A1087" s="14">
        <v>79406204</v>
      </c>
      <c r="B1087" s="11" t="s">
        <v>1184</v>
      </c>
      <c r="C1087" s="18">
        <v>1000000</v>
      </c>
    </row>
    <row r="1088" spans="1:3" x14ac:dyDescent="0.25">
      <c r="A1088" s="14">
        <v>52280852</v>
      </c>
      <c r="B1088" s="11" t="s">
        <v>614</v>
      </c>
      <c r="C1088" s="19">
        <v>1000000</v>
      </c>
    </row>
    <row r="1089" spans="1:3" x14ac:dyDescent="0.25">
      <c r="A1089" s="14">
        <v>366</v>
      </c>
      <c r="B1089" s="11" t="s">
        <v>615</v>
      </c>
      <c r="C1089" s="19">
        <v>1000000</v>
      </c>
    </row>
    <row r="1090" spans="1:3" x14ac:dyDescent="0.25">
      <c r="A1090" s="14">
        <v>93420274</v>
      </c>
      <c r="B1090" s="11" t="s">
        <v>616</v>
      </c>
      <c r="C1090" s="19">
        <v>1000000</v>
      </c>
    </row>
    <row r="1091" spans="1:3" x14ac:dyDescent="0.25">
      <c r="A1091" s="14">
        <v>80544286</v>
      </c>
      <c r="B1091" s="11" t="s">
        <v>617</v>
      </c>
      <c r="C1091" s="18">
        <v>1000000</v>
      </c>
    </row>
    <row r="1092" spans="1:3" x14ac:dyDescent="0.25">
      <c r="A1092" s="14">
        <v>80220765</v>
      </c>
      <c r="B1092" s="11" t="s">
        <v>618</v>
      </c>
      <c r="C1092" s="19">
        <v>1000000</v>
      </c>
    </row>
    <row r="1093" spans="1:3" x14ac:dyDescent="0.25">
      <c r="A1093" s="14">
        <v>80816507</v>
      </c>
      <c r="B1093" s="11" t="s">
        <v>619</v>
      </c>
      <c r="C1093" s="19">
        <v>1000000</v>
      </c>
    </row>
    <row r="1094" spans="1:3" x14ac:dyDescent="0.25">
      <c r="A1094" s="14">
        <v>1072653594</v>
      </c>
      <c r="B1094" s="11" t="s">
        <v>620</v>
      </c>
      <c r="C1094" s="18">
        <v>1000000</v>
      </c>
    </row>
    <row r="1095" spans="1:3" x14ac:dyDescent="0.25">
      <c r="A1095" s="14">
        <v>1069584337</v>
      </c>
      <c r="B1095" s="11" t="s">
        <v>1185</v>
      </c>
      <c r="C1095" s="19">
        <v>1000000</v>
      </c>
    </row>
    <row r="1096" spans="1:3" x14ac:dyDescent="0.25">
      <c r="A1096" s="14">
        <v>20610698</v>
      </c>
      <c r="B1096" s="11" t="s">
        <v>850</v>
      </c>
      <c r="C1096" s="19">
        <v>0</v>
      </c>
    </row>
    <row r="1097" spans="1:3" x14ac:dyDescent="0.25">
      <c r="A1097" s="14">
        <v>222222222</v>
      </c>
      <c r="B1097" s="11" t="s">
        <v>621</v>
      </c>
      <c r="C1097" s="18">
        <v>0</v>
      </c>
    </row>
    <row r="1098" spans="1:3" x14ac:dyDescent="0.25">
      <c r="A1098" s="14">
        <v>222222222</v>
      </c>
      <c r="B1098" s="11" t="s">
        <v>621</v>
      </c>
      <c r="C1098" s="18">
        <v>0</v>
      </c>
    </row>
    <row r="1099" spans="1:3" x14ac:dyDescent="0.25">
      <c r="A1099" s="14">
        <v>1120867326</v>
      </c>
      <c r="B1099" s="11" t="s">
        <v>622</v>
      </c>
      <c r="C1099" s="19">
        <v>1000000</v>
      </c>
    </row>
    <row r="1100" spans="1:3" x14ac:dyDescent="0.25">
      <c r="A1100" s="14">
        <v>900095648</v>
      </c>
      <c r="B1100" s="11" t="s">
        <v>1029</v>
      </c>
      <c r="C1100" s="19">
        <v>20000000</v>
      </c>
    </row>
    <row r="1101" spans="1:3" x14ac:dyDescent="0.25">
      <c r="A1101" s="14">
        <v>900535049</v>
      </c>
      <c r="B1101" s="11" t="s">
        <v>623</v>
      </c>
      <c r="C1101" s="19">
        <v>1000000</v>
      </c>
    </row>
    <row r="1102" spans="1:3" x14ac:dyDescent="0.25">
      <c r="A1102" s="14">
        <v>901952632</v>
      </c>
      <c r="B1102" s="11" t="s">
        <v>1031</v>
      </c>
      <c r="C1102" s="19">
        <v>10000000</v>
      </c>
    </row>
    <row r="1103" spans="1:3" x14ac:dyDescent="0.25">
      <c r="A1103" s="14">
        <v>900596613</v>
      </c>
      <c r="B1103" s="11" t="s">
        <v>624</v>
      </c>
      <c r="C1103" s="19">
        <v>1000000</v>
      </c>
    </row>
    <row r="1104" spans="1:3" x14ac:dyDescent="0.25">
      <c r="A1104" s="14">
        <v>52206325</v>
      </c>
      <c r="B1104" s="11" t="s">
        <v>625</v>
      </c>
      <c r="C1104" s="19">
        <v>1000000</v>
      </c>
    </row>
    <row r="1105" spans="1:3" x14ac:dyDescent="0.25">
      <c r="A1105" s="14">
        <v>39545271</v>
      </c>
      <c r="B1105" s="11" t="s">
        <v>626</v>
      </c>
      <c r="C1105" s="18">
        <v>1000000</v>
      </c>
    </row>
    <row r="1106" spans="1:3" x14ac:dyDescent="0.25">
      <c r="A1106" s="14">
        <v>5678</v>
      </c>
      <c r="B1106" s="11" t="s">
        <v>1186</v>
      </c>
      <c r="C1106" s="18">
        <v>1000000</v>
      </c>
    </row>
    <row r="1107" spans="1:3" x14ac:dyDescent="0.25">
      <c r="A1107" s="14">
        <v>52490277</v>
      </c>
      <c r="B1107" s="11" t="s">
        <v>1033</v>
      </c>
      <c r="C1107" s="19">
        <v>1000000</v>
      </c>
    </row>
    <row r="1108" spans="1:3" x14ac:dyDescent="0.25">
      <c r="A1108" s="14">
        <v>1010228641</v>
      </c>
      <c r="B1108" s="11" t="s">
        <v>627</v>
      </c>
      <c r="C1108" s="18">
        <v>1000000</v>
      </c>
    </row>
    <row r="1109" spans="1:3" x14ac:dyDescent="0.25">
      <c r="A1109" s="14">
        <v>12</v>
      </c>
      <c r="B1109" s="11" t="s">
        <v>1187</v>
      </c>
      <c r="C1109" s="18">
        <v>1000000</v>
      </c>
    </row>
    <row r="1110" spans="1:3" x14ac:dyDescent="0.25">
      <c r="A1110" s="14">
        <v>1012386130</v>
      </c>
      <c r="B1110" s="11" t="s">
        <v>1188</v>
      </c>
      <c r="C1110" s="19">
        <v>0</v>
      </c>
    </row>
    <row r="1111" spans="1:3" x14ac:dyDescent="0.25">
      <c r="A1111" s="14">
        <v>900655332</v>
      </c>
      <c r="B1111" s="11" t="s">
        <v>628</v>
      </c>
      <c r="C1111" s="18">
        <v>1000000</v>
      </c>
    </row>
    <row r="1112" spans="1:3" x14ac:dyDescent="0.25">
      <c r="A1112" s="14">
        <v>901250585</v>
      </c>
      <c r="B1112" s="11" t="s">
        <v>629</v>
      </c>
      <c r="C1112" s="19">
        <v>1000000</v>
      </c>
    </row>
    <row r="1113" spans="1:3" x14ac:dyDescent="0.25">
      <c r="A1113" s="14">
        <v>901132347</v>
      </c>
      <c r="B1113" s="11" t="s">
        <v>630</v>
      </c>
      <c r="C1113" s="18">
        <v>1000000</v>
      </c>
    </row>
    <row r="1114" spans="1:3" x14ac:dyDescent="0.25">
      <c r="A1114" s="14">
        <v>80736026</v>
      </c>
      <c r="B1114" s="11" t="s">
        <v>631</v>
      </c>
      <c r="C1114" s="18">
        <v>1000000</v>
      </c>
    </row>
    <row r="1115" spans="1:3" x14ac:dyDescent="0.25">
      <c r="A1115" s="14">
        <v>900917436</v>
      </c>
      <c r="B1115" s="11" t="s">
        <v>632</v>
      </c>
      <c r="C1115" s="19">
        <v>30000000</v>
      </c>
    </row>
    <row r="1116" spans="1:3" x14ac:dyDescent="0.25">
      <c r="A1116" s="14">
        <v>369</v>
      </c>
      <c r="B1116" s="11" t="s">
        <v>633</v>
      </c>
      <c r="C1116" s="19">
        <v>1000000</v>
      </c>
    </row>
    <row r="1117" spans="1:3" x14ac:dyDescent="0.25">
      <c r="A1117" s="14">
        <v>137</v>
      </c>
      <c r="B1117" s="11" t="s">
        <v>634</v>
      </c>
      <c r="C1117" s="18">
        <v>1000000</v>
      </c>
    </row>
    <row r="1118" spans="1:3" x14ac:dyDescent="0.25">
      <c r="A1118" s="14">
        <v>91225712</v>
      </c>
      <c r="B1118" s="11" t="s">
        <v>1035</v>
      </c>
      <c r="C1118" s="19">
        <v>0</v>
      </c>
    </row>
    <row r="1119" spans="1:3" x14ac:dyDescent="0.25">
      <c r="A1119" s="14">
        <v>79269515</v>
      </c>
      <c r="B1119" s="11" t="s">
        <v>635</v>
      </c>
      <c r="C1119" s="19">
        <v>1000000</v>
      </c>
    </row>
    <row r="1120" spans="1:3" x14ac:dyDescent="0.25">
      <c r="A1120" s="14">
        <v>80153828</v>
      </c>
      <c r="B1120" s="11" t="s">
        <v>636</v>
      </c>
      <c r="C1120" s="18">
        <v>1000000</v>
      </c>
    </row>
    <row r="1121" spans="1:3" x14ac:dyDescent="0.25">
      <c r="A1121" s="14">
        <v>80811705</v>
      </c>
      <c r="B1121" s="11" t="s">
        <v>637</v>
      </c>
      <c r="C1121" s="19">
        <v>7000000</v>
      </c>
    </row>
    <row r="1122" spans="1:3" x14ac:dyDescent="0.25">
      <c r="A1122" s="14">
        <v>1003</v>
      </c>
      <c r="B1122" s="11" t="s">
        <v>637</v>
      </c>
      <c r="C1122" s="19">
        <v>7000000</v>
      </c>
    </row>
    <row r="1123" spans="1:3" x14ac:dyDescent="0.25">
      <c r="A1123" s="14">
        <v>19469721</v>
      </c>
      <c r="B1123" s="11" t="s">
        <v>925</v>
      </c>
      <c r="C1123" s="19">
        <v>0</v>
      </c>
    </row>
    <row r="1124" spans="1:3" x14ac:dyDescent="0.25">
      <c r="A1124" s="14">
        <v>86065880</v>
      </c>
      <c r="B1124" s="11" t="s">
        <v>638</v>
      </c>
      <c r="C1124" s="18">
        <v>1000000</v>
      </c>
    </row>
    <row r="1125" spans="1:3" x14ac:dyDescent="0.25">
      <c r="A1125" s="14">
        <v>704</v>
      </c>
      <c r="B1125" s="11" t="s">
        <v>926</v>
      </c>
      <c r="C1125" s="18">
        <v>1000000</v>
      </c>
    </row>
    <row r="1126" spans="1:3" x14ac:dyDescent="0.25">
      <c r="A1126" s="14">
        <v>79217835</v>
      </c>
      <c r="B1126" s="11" t="s">
        <v>926</v>
      </c>
      <c r="C1126" s="19">
        <v>1000000</v>
      </c>
    </row>
    <row r="1127" spans="1:3" x14ac:dyDescent="0.25">
      <c r="A1127" s="14">
        <v>901306167</v>
      </c>
      <c r="B1127" s="11" t="s">
        <v>639</v>
      </c>
      <c r="C1127" s="19">
        <v>3000000</v>
      </c>
    </row>
    <row r="1128" spans="1:3" x14ac:dyDescent="0.25">
      <c r="A1128" s="14">
        <v>901395647</v>
      </c>
      <c r="B1128" s="11" t="s">
        <v>796</v>
      </c>
      <c r="C1128" s="19">
        <v>1000000</v>
      </c>
    </row>
    <row r="1129" spans="1:3" x14ac:dyDescent="0.25">
      <c r="A1129" s="14">
        <v>900898950</v>
      </c>
      <c r="B1129" s="11" t="s">
        <v>640</v>
      </c>
      <c r="C1129" s="18">
        <v>1000000</v>
      </c>
    </row>
    <row r="1130" spans="1:3" x14ac:dyDescent="0.25">
      <c r="A1130" s="14">
        <v>86070248</v>
      </c>
      <c r="B1130" s="11" t="s">
        <v>641</v>
      </c>
      <c r="C1130" s="19">
        <v>1000000</v>
      </c>
    </row>
    <row r="1131" spans="1:3" x14ac:dyDescent="0.25">
      <c r="A1131" s="14">
        <v>10223900239</v>
      </c>
      <c r="B1131" s="11" t="s">
        <v>642</v>
      </c>
      <c r="C1131" s="19">
        <v>1000000</v>
      </c>
    </row>
    <row r="1132" spans="1:3" x14ac:dyDescent="0.25">
      <c r="A1132" s="14">
        <v>830005433</v>
      </c>
      <c r="B1132" s="11" t="s">
        <v>877</v>
      </c>
      <c r="C1132" s="19">
        <v>16000000</v>
      </c>
    </row>
    <row r="1133" spans="1:3" x14ac:dyDescent="0.25">
      <c r="A1133" s="14">
        <v>901826442</v>
      </c>
      <c r="B1133" s="11" t="s">
        <v>1189</v>
      </c>
      <c r="C1133" s="19">
        <v>1000000</v>
      </c>
    </row>
    <row r="1134" spans="1:3" x14ac:dyDescent="0.25">
      <c r="A1134" s="14">
        <v>900108136</v>
      </c>
      <c r="B1134" s="11" t="s">
        <v>643</v>
      </c>
      <c r="C1134" s="19">
        <v>1000000</v>
      </c>
    </row>
    <row r="1135" spans="1:3" x14ac:dyDescent="0.25">
      <c r="A1135" s="14">
        <v>901841031</v>
      </c>
      <c r="B1135" s="11" t="s">
        <v>805</v>
      </c>
      <c r="C1135" s="19">
        <v>1000000</v>
      </c>
    </row>
    <row r="1136" spans="1:3" x14ac:dyDescent="0.25">
      <c r="A1136" s="14">
        <v>901841031</v>
      </c>
      <c r="B1136" s="11" t="s">
        <v>805</v>
      </c>
      <c r="C1136" s="19">
        <v>1000000</v>
      </c>
    </row>
    <row r="1137" spans="1:3" x14ac:dyDescent="0.25">
      <c r="A1137" s="14">
        <v>901675980</v>
      </c>
      <c r="B1137" s="11" t="s">
        <v>644</v>
      </c>
      <c r="C1137" s="19">
        <v>8000000</v>
      </c>
    </row>
    <row r="1138" spans="1:3" x14ac:dyDescent="0.25">
      <c r="A1138" s="14">
        <v>1057488141</v>
      </c>
      <c r="B1138" s="11" t="s">
        <v>645</v>
      </c>
      <c r="C1138" s="18">
        <v>1000000</v>
      </c>
    </row>
    <row r="1139" spans="1:3" x14ac:dyDescent="0.25">
      <c r="A1139" s="14">
        <v>901578082</v>
      </c>
      <c r="B1139" s="11" t="s">
        <v>646</v>
      </c>
      <c r="C1139" s="19">
        <v>1000000</v>
      </c>
    </row>
    <row r="1140" spans="1:3" x14ac:dyDescent="0.25">
      <c r="A1140" s="14">
        <v>700185567</v>
      </c>
      <c r="B1140" s="11" t="s">
        <v>648</v>
      </c>
      <c r="C1140" s="19">
        <v>1000000</v>
      </c>
    </row>
    <row r="1141" spans="1:3" x14ac:dyDescent="0.25">
      <c r="A1141" s="14">
        <v>708</v>
      </c>
      <c r="B1141" s="11" t="s">
        <v>927</v>
      </c>
      <c r="C1141" s="19">
        <v>5000000</v>
      </c>
    </row>
    <row r="1142" spans="1:3" x14ac:dyDescent="0.25">
      <c r="A1142" s="14">
        <v>52241377</v>
      </c>
      <c r="B1142" s="11" t="s">
        <v>927</v>
      </c>
      <c r="C1142" s="19">
        <v>5000000</v>
      </c>
    </row>
    <row r="1143" spans="1:3" x14ac:dyDescent="0.25">
      <c r="A1143" s="14">
        <v>1026296724</v>
      </c>
      <c r="B1143" s="11" t="s">
        <v>928</v>
      </c>
      <c r="C1143" s="19">
        <v>1000000</v>
      </c>
    </row>
    <row r="1144" spans="1:3" x14ac:dyDescent="0.25">
      <c r="A1144" s="14">
        <v>900170958</v>
      </c>
      <c r="B1144" s="11" t="s">
        <v>649</v>
      </c>
      <c r="C1144" s="19">
        <v>15000000</v>
      </c>
    </row>
    <row r="1145" spans="1:3" x14ac:dyDescent="0.25">
      <c r="A1145" s="14">
        <v>384</v>
      </c>
      <c r="B1145" s="11" t="s">
        <v>650</v>
      </c>
      <c r="C1145" s="19">
        <v>1000000</v>
      </c>
    </row>
    <row r="1146" spans="1:3" x14ac:dyDescent="0.25">
      <c r="A1146" s="14">
        <v>93456213</v>
      </c>
      <c r="B1146" s="11" t="s">
        <v>651</v>
      </c>
      <c r="C1146" s="19">
        <v>1000000</v>
      </c>
    </row>
    <row r="1147" spans="1:3" x14ac:dyDescent="0.25">
      <c r="A1147" s="14">
        <v>80826238</v>
      </c>
      <c r="B1147" s="11" t="s">
        <v>652</v>
      </c>
      <c r="C1147" s="19">
        <v>1000000</v>
      </c>
    </row>
    <row r="1148" spans="1:3" x14ac:dyDescent="0.25">
      <c r="A1148" s="14">
        <v>710</v>
      </c>
      <c r="B1148" s="11" t="s">
        <v>1190</v>
      </c>
      <c r="C1148" s="19">
        <v>100000</v>
      </c>
    </row>
    <row r="1149" spans="1:3" x14ac:dyDescent="0.25">
      <c r="A1149" s="14">
        <v>4287694</v>
      </c>
      <c r="B1149" s="11" t="s">
        <v>653</v>
      </c>
      <c r="C1149" s="19">
        <v>1000000</v>
      </c>
    </row>
    <row r="1150" spans="1:3" x14ac:dyDescent="0.25">
      <c r="A1150" s="14">
        <v>13620500</v>
      </c>
      <c r="B1150" s="11" t="s">
        <v>654</v>
      </c>
      <c r="C1150" s="19">
        <v>1000000</v>
      </c>
    </row>
    <row r="1151" spans="1:3" x14ac:dyDescent="0.25">
      <c r="A1151" s="14">
        <v>13620500</v>
      </c>
      <c r="B1151" s="11" t="s">
        <v>654</v>
      </c>
      <c r="C1151" s="19">
        <v>1000000</v>
      </c>
    </row>
    <row r="1152" spans="1:3" x14ac:dyDescent="0.25">
      <c r="A1152" s="14">
        <v>1001</v>
      </c>
      <c r="B1152" s="11" t="s">
        <v>1191</v>
      </c>
      <c r="C1152" s="19">
        <v>1000000</v>
      </c>
    </row>
    <row r="1153" spans="1:3" x14ac:dyDescent="0.25">
      <c r="A1153" s="14">
        <v>79471277</v>
      </c>
      <c r="B1153" s="11" t="s">
        <v>1191</v>
      </c>
      <c r="C1153" s="19">
        <v>1000000</v>
      </c>
    </row>
    <row r="1154" spans="1:3" x14ac:dyDescent="0.25">
      <c r="A1154" s="14">
        <v>901863623</v>
      </c>
      <c r="B1154" s="11" t="s">
        <v>929</v>
      </c>
      <c r="C1154" s="19">
        <v>20000000</v>
      </c>
    </row>
    <row r="1155" spans="1:3" x14ac:dyDescent="0.25">
      <c r="A1155" s="14">
        <v>901620208</v>
      </c>
      <c r="B1155" s="11" t="s">
        <v>655</v>
      </c>
      <c r="C1155" s="19">
        <v>1000000</v>
      </c>
    </row>
    <row r="1156" spans="1:3" x14ac:dyDescent="0.25">
      <c r="A1156" s="14">
        <v>901392133</v>
      </c>
      <c r="B1156" s="11" t="s">
        <v>795</v>
      </c>
      <c r="C1156" s="19">
        <v>20000000</v>
      </c>
    </row>
    <row r="1157" spans="1:3" x14ac:dyDescent="0.25">
      <c r="A1157" s="14">
        <v>900934928</v>
      </c>
      <c r="B1157" s="11" t="s">
        <v>656</v>
      </c>
      <c r="C1157" s="19">
        <v>60000000</v>
      </c>
    </row>
    <row r="1158" spans="1:3" x14ac:dyDescent="0.25">
      <c r="A1158" s="14">
        <v>900934928</v>
      </c>
      <c r="B1158" s="11" t="s">
        <v>656</v>
      </c>
      <c r="C1158" s="19">
        <v>60000000</v>
      </c>
    </row>
    <row r="1159" spans="1:3" x14ac:dyDescent="0.25">
      <c r="A1159" s="14">
        <v>830066009</v>
      </c>
      <c r="B1159" s="11" t="s">
        <v>657</v>
      </c>
      <c r="C1159" s="18">
        <v>2000000</v>
      </c>
    </row>
    <row r="1160" spans="1:3" x14ac:dyDescent="0.25">
      <c r="A1160" s="14">
        <v>93292098</v>
      </c>
      <c r="B1160" s="11" t="s">
        <v>1037</v>
      </c>
      <c r="C1160" s="19">
        <v>0</v>
      </c>
    </row>
    <row r="1161" spans="1:3" x14ac:dyDescent="0.25">
      <c r="A1161" s="14">
        <v>901226957</v>
      </c>
      <c r="B1161" s="11" t="s">
        <v>658</v>
      </c>
      <c r="C1161" s="19">
        <v>20000000</v>
      </c>
    </row>
    <row r="1162" spans="1:3" x14ac:dyDescent="0.25">
      <c r="A1162" s="14">
        <v>901226957</v>
      </c>
      <c r="B1162" s="11" t="s">
        <v>658</v>
      </c>
      <c r="C1162" s="19">
        <v>20000000</v>
      </c>
    </row>
    <row r="1163" spans="1:3" x14ac:dyDescent="0.25">
      <c r="A1163" s="14">
        <v>901226957</v>
      </c>
      <c r="B1163" s="11" t="s">
        <v>658</v>
      </c>
      <c r="C1163" s="19">
        <v>20000000</v>
      </c>
    </row>
    <row r="1164" spans="1:3" x14ac:dyDescent="0.25">
      <c r="A1164" s="14">
        <v>901226957</v>
      </c>
      <c r="B1164" s="11" t="s">
        <v>658</v>
      </c>
      <c r="C1164" s="19">
        <v>20000000</v>
      </c>
    </row>
    <row r="1165" spans="1:3" x14ac:dyDescent="0.25">
      <c r="A1165" s="14">
        <v>901226957</v>
      </c>
      <c r="B1165" s="11" t="s">
        <v>658</v>
      </c>
      <c r="C1165" s="19">
        <v>20000000</v>
      </c>
    </row>
    <row r="1166" spans="1:3" x14ac:dyDescent="0.25">
      <c r="A1166" s="14">
        <v>901226957</v>
      </c>
      <c r="B1166" s="11" t="s">
        <v>658</v>
      </c>
      <c r="C1166" s="19">
        <v>20000000</v>
      </c>
    </row>
    <row r="1167" spans="1:3" x14ac:dyDescent="0.25">
      <c r="A1167" s="14">
        <v>901262730</v>
      </c>
      <c r="B1167" s="11" t="s">
        <v>659</v>
      </c>
      <c r="C1167" s="19">
        <v>11000000</v>
      </c>
    </row>
    <row r="1168" spans="1:3" x14ac:dyDescent="0.25">
      <c r="A1168" s="14">
        <v>860065656</v>
      </c>
      <c r="B1168" s="11" t="s">
        <v>660</v>
      </c>
      <c r="C1168" s="19">
        <v>1000000</v>
      </c>
    </row>
    <row r="1169" spans="1:3" x14ac:dyDescent="0.25">
      <c r="A1169" s="14">
        <v>900692437</v>
      </c>
      <c r="B1169" s="11" t="s">
        <v>1192</v>
      </c>
      <c r="C1169" s="18">
        <v>0</v>
      </c>
    </row>
    <row r="1170" spans="1:3" x14ac:dyDescent="0.25">
      <c r="A1170" s="14">
        <v>900561507</v>
      </c>
      <c r="B1170" s="11" t="s">
        <v>661</v>
      </c>
      <c r="C1170" s="18">
        <v>1000000</v>
      </c>
    </row>
    <row r="1171" spans="1:3" x14ac:dyDescent="0.25">
      <c r="A1171" s="14">
        <v>860061403</v>
      </c>
      <c r="B1171" s="11" t="s">
        <v>875</v>
      </c>
      <c r="C1171" s="19">
        <v>50000000</v>
      </c>
    </row>
    <row r="1172" spans="1:3" x14ac:dyDescent="0.25">
      <c r="A1172" s="14">
        <v>900062666</v>
      </c>
      <c r="B1172" s="11" t="s">
        <v>662</v>
      </c>
      <c r="C1172" s="19">
        <v>1000000</v>
      </c>
    </row>
    <row r="1173" spans="1:3" x14ac:dyDescent="0.25">
      <c r="A1173" s="14">
        <v>900763972</v>
      </c>
      <c r="B1173" s="11" t="s">
        <v>663</v>
      </c>
      <c r="C1173" s="19">
        <v>1000000</v>
      </c>
    </row>
    <row r="1174" spans="1:3" x14ac:dyDescent="0.25">
      <c r="A1174" s="14">
        <v>860045409</v>
      </c>
      <c r="B1174" s="11" t="s">
        <v>664</v>
      </c>
      <c r="C1174" s="19">
        <v>9000000</v>
      </c>
    </row>
    <row r="1175" spans="1:3" x14ac:dyDescent="0.25">
      <c r="A1175" s="14">
        <v>900584625</v>
      </c>
      <c r="B1175" s="11" t="s">
        <v>665</v>
      </c>
      <c r="C1175" s="19">
        <v>1000000</v>
      </c>
    </row>
    <row r="1176" spans="1:3" x14ac:dyDescent="0.25">
      <c r="A1176" s="14">
        <v>900123316</v>
      </c>
      <c r="B1176" s="11" t="s">
        <v>666</v>
      </c>
      <c r="C1176" s="18">
        <v>1000000</v>
      </c>
    </row>
    <row r="1177" spans="1:3" x14ac:dyDescent="0.25">
      <c r="A1177" s="14">
        <v>900123316</v>
      </c>
      <c r="B1177" s="11" t="s">
        <v>666</v>
      </c>
      <c r="C1177" s="18">
        <v>1000000</v>
      </c>
    </row>
    <row r="1178" spans="1:3" x14ac:dyDescent="0.25">
      <c r="A1178" s="14">
        <v>5837780</v>
      </c>
      <c r="B1178" s="11" t="s">
        <v>1193</v>
      </c>
      <c r="C1178" s="18">
        <v>1000000</v>
      </c>
    </row>
    <row r="1179" spans="1:3" x14ac:dyDescent="0.25">
      <c r="A1179" s="14">
        <v>901701609</v>
      </c>
      <c r="B1179" s="11" t="s">
        <v>1075</v>
      </c>
      <c r="C1179" s="19">
        <v>5000000</v>
      </c>
    </row>
    <row r="1180" spans="1:3" x14ac:dyDescent="0.25">
      <c r="A1180" s="14">
        <v>900487580</v>
      </c>
      <c r="B1180" s="11" t="s">
        <v>667</v>
      </c>
      <c r="C1180" s="18">
        <v>1000000</v>
      </c>
    </row>
    <row r="1181" spans="1:3" x14ac:dyDescent="0.25">
      <c r="A1181" s="14">
        <v>399</v>
      </c>
      <c r="B1181" s="11" t="s">
        <v>668</v>
      </c>
      <c r="C1181" s="19">
        <v>1000000</v>
      </c>
    </row>
    <row r="1182" spans="1:3" x14ac:dyDescent="0.25">
      <c r="A1182" s="14">
        <v>20</v>
      </c>
      <c r="B1182" s="11" t="s">
        <v>669</v>
      </c>
      <c r="C1182" s="18">
        <v>1000000</v>
      </c>
    </row>
    <row r="1183" spans="1:3" x14ac:dyDescent="0.25">
      <c r="A1183" s="14">
        <v>22</v>
      </c>
      <c r="B1183" s="11" t="s">
        <v>1194</v>
      </c>
      <c r="C1183" s="18">
        <v>1000000</v>
      </c>
    </row>
    <row r="1184" spans="1:3" x14ac:dyDescent="0.25">
      <c r="A1184" s="14">
        <v>21</v>
      </c>
      <c r="B1184" s="11" t="s">
        <v>1195</v>
      </c>
      <c r="C1184" s="18">
        <v>1000000</v>
      </c>
    </row>
    <row r="1185" spans="1:3" x14ac:dyDescent="0.25">
      <c r="A1185" s="14">
        <v>428</v>
      </c>
      <c r="B1185" s="11" t="s">
        <v>670</v>
      </c>
      <c r="C1185" s="19">
        <v>1000000</v>
      </c>
    </row>
    <row r="1186" spans="1:3" x14ac:dyDescent="0.25">
      <c r="A1186" s="14">
        <v>901166805</v>
      </c>
      <c r="B1186" s="11" t="s">
        <v>671</v>
      </c>
      <c r="C1186" s="19">
        <v>30000000</v>
      </c>
    </row>
    <row r="1187" spans="1:3" x14ac:dyDescent="0.25">
      <c r="A1187" s="14">
        <v>901601393</v>
      </c>
      <c r="B1187" s="11" t="s">
        <v>672</v>
      </c>
      <c r="C1187" s="19">
        <v>1000000</v>
      </c>
    </row>
    <row r="1188" spans="1:3" x14ac:dyDescent="0.25">
      <c r="A1188" s="14">
        <v>901103672</v>
      </c>
      <c r="B1188" s="11" t="s">
        <v>673</v>
      </c>
      <c r="C1188" s="19">
        <v>5000000</v>
      </c>
    </row>
    <row r="1189" spans="1:3" x14ac:dyDescent="0.25">
      <c r="A1189" s="14">
        <v>901103672</v>
      </c>
      <c r="B1189" s="11" t="s">
        <v>673</v>
      </c>
      <c r="C1189" s="19">
        <v>5000000</v>
      </c>
    </row>
    <row r="1190" spans="1:3" x14ac:dyDescent="0.25">
      <c r="A1190" s="14">
        <v>900897183</v>
      </c>
      <c r="B1190" s="11" t="s">
        <v>674</v>
      </c>
      <c r="C1190" s="19">
        <v>1000000</v>
      </c>
    </row>
    <row r="1191" spans="1:3" x14ac:dyDescent="0.25">
      <c r="A1191" s="14">
        <v>1030616697</v>
      </c>
      <c r="B1191" s="11" t="s">
        <v>675</v>
      </c>
      <c r="C1191" s="19">
        <v>1000000</v>
      </c>
    </row>
    <row r="1192" spans="1:3" x14ac:dyDescent="0.25">
      <c r="A1192" s="14">
        <v>1030616697</v>
      </c>
      <c r="B1192" s="11" t="s">
        <v>675</v>
      </c>
      <c r="C1192" s="19">
        <v>1000000</v>
      </c>
    </row>
    <row r="1193" spans="1:3" x14ac:dyDescent="0.25">
      <c r="A1193" s="14">
        <v>39747433</v>
      </c>
      <c r="B1193" s="11" t="s">
        <v>676</v>
      </c>
      <c r="C1193" s="18">
        <v>1000000</v>
      </c>
    </row>
    <row r="1194" spans="1:3" x14ac:dyDescent="0.25">
      <c r="A1194" s="14">
        <v>397477333</v>
      </c>
      <c r="B1194" s="11" t="s">
        <v>676</v>
      </c>
      <c r="C1194" s="18">
        <v>1000000</v>
      </c>
    </row>
    <row r="1195" spans="1:3" x14ac:dyDescent="0.25">
      <c r="A1195" s="14">
        <v>901307176</v>
      </c>
      <c r="B1195" s="11" t="s">
        <v>797</v>
      </c>
      <c r="C1195" s="19">
        <v>1000000</v>
      </c>
    </row>
    <row r="1196" spans="1:3" x14ac:dyDescent="0.25">
      <c r="A1196" s="14">
        <v>901910068</v>
      </c>
      <c r="B1196" s="11" t="s">
        <v>1039</v>
      </c>
      <c r="C1196" s="19">
        <v>0</v>
      </c>
    </row>
    <row r="1197" spans="1:3" x14ac:dyDescent="0.25">
      <c r="A1197" s="14">
        <v>80032413</v>
      </c>
      <c r="B1197" s="11" t="s">
        <v>677</v>
      </c>
      <c r="C1197" s="18">
        <v>1000000</v>
      </c>
    </row>
    <row r="1198" spans="1:3" x14ac:dyDescent="0.25">
      <c r="A1198" s="14">
        <v>182</v>
      </c>
      <c r="B1198" s="11" t="s">
        <v>1196</v>
      </c>
      <c r="C1198" s="19">
        <v>1000000</v>
      </c>
    </row>
    <row r="1199" spans="1:3" x14ac:dyDescent="0.25">
      <c r="A1199" s="14">
        <v>901364147</v>
      </c>
      <c r="B1199" s="11" t="s">
        <v>679</v>
      </c>
      <c r="C1199" s="18">
        <v>1000000</v>
      </c>
    </row>
    <row r="1200" spans="1:3" x14ac:dyDescent="0.25">
      <c r="A1200" s="14">
        <v>901531814</v>
      </c>
      <c r="B1200" s="11" t="s">
        <v>680</v>
      </c>
      <c r="C1200" s="19">
        <v>10000000</v>
      </c>
    </row>
    <row r="1201" spans="1:3" x14ac:dyDescent="0.25">
      <c r="A1201" s="14">
        <v>86003845</v>
      </c>
      <c r="B1201" s="11" t="s">
        <v>681</v>
      </c>
      <c r="C1201" s="19">
        <v>1000000</v>
      </c>
    </row>
    <row r="1202" spans="1:3" x14ac:dyDescent="0.25">
      <c r="A1202" s="14">
        <v>17783332</v>
      </c>
      <c r="B1202" s="11" t="s">
        <v>1076</v>
      </c>
      <c r="C1202" s="18">
        <v>0</v>
      </c>
    </row>
    <row r="1203" spans="1:3" x14ac:dyDescent="0.25">
      <c r="A1203" s="14">
        <v>79945655</v>
      </c>
      <c r="B1203" s="11" t="s">
        <v>682</v>
      </c>
      <c r="C1203" s="19">
        <v>1000000</v>
      </c>
    </row>
    <row r="1204" spans="1:3" x14ac:dyDescent="0.25">
      <c r="A1204" s="14">
        <v>577143</v>
      </c>
      <c r="B1204" s="11" t="s">
        <v>683</v>
      </c>
      <c r="C1204" s="19">
        <v>1000000</v>
      </c>
    </row>
    <row r="1205" spans="1:3" x14ac:dyDescent="0.25">
      <c r="A1205" s="14">
        <v>79530464</v>
      </c>
      <c r="B1205" s="11" t="s">
        <v>1197</v>
      </c>
      <c r="C1205" s="18">
        <v>1000000</v>
      </c>
    </row>
    <row r="1206" spans="1:3" x14ac:dyDescent="0.25">
      <c r="A1206" s="14">
        <v>163</v>
      </c>
      <c r="B1206" s="11" t="s">
        <v>684</v>
      </c>
      <c r="C1206" s="18">
        <v>1000000</v>
      </c>
    </row>
    <row r="1207" spans="1:3" x14ac:dyDescent="0.25">
      <c r="A1207" s="14">
        <v>52516195</v>
      </c>
      <c r="B1207" s="11" t="s">
        <v>1041</v>
      </c>
      <c r="C1207" s="19">
        <v>5000000</v>
      </c>
    </row>
    <row r="1208" spans="1:3" x14ac:dyDescent="0.25">
      <c r="A1208" s="14">
        <v>79468380</v>
      </c>
      <c r="B1208" s="11" t="s">
        <v>685</v>
      </c>
      <c r="C1208" s="19">
        <v>1000000</v>
      </c>
    </row>
    <row r="1209" spans="1:3" x14ac:dyDescent="0.25">
      <c r="A1209" s="14">
        <v>901131317</v>
      </c>
      <c r="B1209" s="11" t="s">
        <v>798</v>
      </c>
      <c r="C1209" s="19">
        <v>55000000</v>
      </c>
    </row>
    <row r="1210" spans="1:3" x14ac:dyDescent="0.25">
      <c r="A1210" s="14">
        <v>901131317</v>
      </c>
      <c r="B1210" s="11" t="s">
        <v>798</v>
      </c>
      <c r="C1210" s="19">
        <v>55000000</v>
      </c>
    </row>
    <row r="1211" spans="1:3" x14ac:dyDescent="0.25">
      <c r="A1211" s="14">
        <v>227</v>
      </c>
      <c r="B1211" s="11" t="s">
        <v>686</v>
      </c>
      <c r="C1211" s="19">
        <v>1000000</v>
      </c>
    </row>
    <row r="1212" spans="1:3" x14ac:dyDescent="0.25">
      <c r="A1212" s="14">
        <v>712</v>
      </c>
      <c r="B1212" s="11" t="s">
        <v>1198</v>
      </c>
      <c r="C1212" s="19">
        <v>1000000</v>
      </c>
    </row>
    <row r="1213" spans="1:3" x14ac:dyDescent="0.25">
      <c r="A1213" s="14">
        <v>39792025</v>
      </c>
      <c r="B1213" s="11" t="s">
        <v>930</v>
      </c>
      <c r="C1213" s="19">
        <v>0</v>
      </c>
    </row>
    <row r="1214" spans="1:3" x14ac:dyDescent="0.25">
      <c r="A1214" s="14">
        <v>19461961</v>
      </c>
      <c r="B1214" s="11" t="s">
        <v>909</v>
      </c>
      <c r="C1214" s="19">
        <v>8000000</v>
      </c>
    </row>
    <row r="1215" spans="1:3" x14ac:dyDescent="0.25">
      <c r="A1215" s="14">
        <v>1070952978</v>
      </c>
      <c r="B1215" s="11" t="s">
        <v>687</v>
      </c>
      <c r="C1215" s="19">
        <v>1000000</v>
      </c>
    </row>
    <row r="1216" spans="1:3" x14ac:dyDescent="0.25">
      <c r="A1216" s="14">
        <v>7228927</v>
      </c>
      <c r="B1216" s="11" t="s">
        <v>688</v>
      </c>
      <c r="C1216" s="19">
        <v>1000000</v>
      </c>
    </row>
    <row r="1217" spans="1:3" x14ac:dyDescent="0.25">
      <c r="A1217" s="14">
        <v>153</v>
      </c>
      <c r="B1217" s="11" t="s">
        <v>689</v>
      </c>
      <c r="C1217" s="19">
        <v>1000000</v>
      </c>
    </row>
    <row r="1218" spans="1:3" x14ac:dyDescent="0.25">
      <c r="A1218" s="14">
        <v>79183258</v>
      </c>
      <c r="B1218" s="11" t="s">
        <v>1199</v>
      </c>
      <c r="C1218" s="19">
        <v>1000000</v>
      </c>
    </row>
    <row r="1219" spans="1:3" x14ac:dyDescent="0.25">
      <c r="A1219" s="14">
        <v>79183258</v>
      </c>
      <c r="B1219" s="11" t="s">
        <v>1199</v>
      </c>
      <c r="C1219" s="19">
        <v>1000000</v>
      </c>
    </row>
    <row r="1220" spans="1:3" x14ac:dyDescent="0.25">
      <c r="A1220" s="14">
        <v>475934</v>
      </c>
      <c r="B1220" s="11" t="s">
        <v>691</v>
      </c>
      <c r="C1220" s="19">
        <v>1000000</v>
      </c>
    </row>
    <row r="1221" spans="1:3" x14ac:dyDescent="0.25">
      <c r="A1221" s="14">
        <v>1024558934</v>
      </c>
      <c r="B1221" s="11" t="s">
        <v>975</v>
      </c>
      <c r="C1221" s="19">
        <v>2000000</v>
      </c>
    </row>
    <row r="1222" spans="1:3" x14ac:dyDescent="0.25">
      <c r="A1222" s="14">
        <v>40411028</v>
      </c>
      <c r="B1222" s="11" t="s">
        <v>692</v>
      </c>
      <c r="C1222" s="19">
        <v>1000000</v>
      </c>
    </row>
    <row r="1223" spans="1:3" x14ac:dyDescent="0.25">
      <c r="A1223" s="14">
        <v>41703272</v>
      </c>
      <c r="B1223" s="11" t="s">
        <v>1200</v>
      </c>
      <c r="C1223" s="18">
        <v>1000000</v>
      </c>
    </row>
    <row r="1224" spans="1:3" x14ac:dyDescent="0.25">
      <c r="A1224" s="14">
        <v>37671359</v>
      </c>
      <c r="B1224" s="11" t="s">
        <v>693</v>
      </c>
      <c r="C1224" s="18">
        <v>1000000</v>
      </c>
    </row>
    <row r="1225" spans="1:3" x14ac:dyDescent="0.25">
      <c r="A1225" s="14">
        <v>52696870</v>
      </c>
      <c r="B1225" s="11" t="s">
        <v>694</v>
      </c>
      <c r="C1225" s="18">
        <v>1000000</v>
      </c>
    </row>
    <row r="1226" spans="1:3" x14ac:dyDescent="0.25">
      <c r="A1226" s="14">
        <v>9197882</v>
      </c>
      <c r="B1226" s="11" t="s">
        <v>1201</v>
      </c>
      <c r="C1226" s="18">
        <v>1000000</v>
      </c>
    </row>
    <row r="1227" spans="1:3" x14ac:dyDescent="0.25">
      <c r="A1227" s="14">
        <v>1026252944</v>
      </c>
      <c r="B1227" s="11" t="s">
        <v>695</v>
      </c>
      <c r="C1227" s="19">
        <v>1000000</v>
      </c>
    </row>
    <row r="1228" spans="1:3" x14ac:dyDescent="0.25">
      <c r="A1228" s="14">
        <v>39755979</v>
      </c>
      <c r="B1228" s="11" t="s">
        <v>1202</v>
      </c>
      <c r="C1228" s="18">
        <v>1000000</v>
      </c>
    </row>
    <row r="1229" spans="1:3" x14ac:dyDescent="0.25">
      <c r="A1229" s="14">
        <v>901676975</v>
      </c>
      <c r="B1229" s="11" t="s">
        <v>799</v>
      </c>
      <c r="C1229" s="19">
        <v>20000000</v>
      </c>
    </row>
    <row r="1230" spans="1:3" x14ac:dyDescent="0.25">
      <c r="A1230" s="14">
        <v>900554660</v>
      </c>
      <c r="B1230" s="11" t="s">
        <v>696</v>
      </c>
      <c r="C1230" s="18">
        <v>1000000</v>
      </c>
    </row>
    <row r="1231" spans="1:3" x14ac:dyDescent="0.25">
      <c r="A1231" s="14">
        <v>1063152401</v>
      </c>
      <c r="B1231" s="11" t="s">
        <v>697</v>
      </c>
      <c r="C1231" s="18">
        <v>1000000</v>
      </c>
    </row>
    <row r="1232" spans="1:3" x14ac:dyDescent="0.25">
      <c r="A1232" s="14">
        <v>1016152401</v>
      </c>
      <c r="B1232" s="11" t="s">
        <v>697</v>
      </c>
      <c r="C1232" s="18">
        <v>1000000</v>
      </c>
    </row>
    <row r="1233" spans="1:3" x14ac:dyDescent="0.25">
      <c r="A1233" s="14">
        <v>379</v>
      </c>
      <c r="B1233" s="11" t="s">
        <v>698</v>
      </c>
      <c r="C1233" s="19">
        <v>1000000</v>
      </c>
    </row>
    <row r="1234" spans="1:3" x14ac:dyDescent="0.25">
      <c r="A1234" s="14">
        <v>901943966</v>
      </c>
      <c r="B1234" s="11" t="s">
        <v>1043</v>
      </c>
      <c r="C1234" s="19">
        <v>10000000</v>
      </c>
    </row>
    <row r="1235" spans="1:3" x14ac:dyDescent="0.25">
      <c r="A1235" s="14">
        <v>164</v>
      </c>
      <c r="B1235" s="11" t="s">
        <v>699</v>
      </c>
      <c r="C1235" s="19">
        <v>1000000</v>
      </c>
    </row>
    <row r="1236" spans="1:3" x14ac:dyDescent="0.25">
      <c r="A1236" s="14">
        <v>52352150</v>
      </c>
      <c r="B1236" s="11" t="s">
        <v>859</v>
      </c>
      <c r="C1236" s="19">
        <v>0</v>
      </c>
    </row>
    <row r="1237" spans="1:3" x14ac:dyDescent="0.25">
      <c r="A1237" s="14">
        <v>93299702</v>
      </c>
      <c r="B1237" s="11" t="s">
        <v>1203</v>
      </c>
      <c r="C1237" s="19">
        <v>2000000</v>
      </c>
    </row>
    <row r="1238" spans="1:3" x14ac:dyDescent="0.25">
      <c r="A1238" s="14">
        <v>901100074</v>
      </c>
      <c r="B1238" s="11" t="s">
        <v>700</v>
      </c>
      <c r="C1238" s="19">
        <v>10000000</v>
      </c>
    </row>
    <row r="1239" spans="1:3" x14ac:dyDescent="0.25">
      <c r="A1239" s="14">
        <v>901100074</v>
      </c>
      <c r="B1239" s="11" t="s">
        <v>700</v>
      </c>
      <c r="C1239" s="19">
        <v>10000000</v>
      </c>
    </row>
    <row r="1240" spans="1:3" x14ac:dyDescent="0.25">
      <c r="A1240" s="14">
        <v>900327148</v>
      </c>
      <c r="B1240" s="11" t="s">
        <v>701</v>
      </c>
      <c r="C1240" s="19">
        <v>1000000</v>
      </c>
    </row>
    <row r="1241" spans="1:3" x14ac:dyDescent="0.25">
      <c r="A1241" s="14">
        <v>830040076</v>
      </c>
      <c r="B1241" s="11" t="s">
        <v>1204</v>
      </c>
      <c r="C1241" s="18">
        <v>1000000</v>
      </c>
    </row>
    <row r="1242" spans="1:3" x14ac:dyDescent="0.25">
      <c r="A1242" s="14">
        <v>900172069</v>
      </c>
      <c r="B1242" s="11" t="s">
        <v>702</v>
      </c>
      <c r="C1242" s="19">
        <v>10000000</v>
      </c>
    </row>
    <row r="1243" spans="1:3" x14ac:dyDescent="0.25">
      <c r="A1243" s="14">
        <v>900172069</v>
      </c>
      <c r="B1243" s="11" t="s">
        <v>702</v>
      </c>
      <c r="C1243" s="19">
        <v>10000000</v>
      </c>
    </row>
    <row r="1244" spans="1:3" x14ac:dyDescent="0.25">
      <c r="A1244" s="14">
        <v>900172069</v>
      </c>
      <c r="B1244" s="11" t="s">
        <v>702</v>
      </c>
      <c r="C1244" s="19">
        <v>10000000</v>
      </c>
    </row>
    <row r="1245" spans="1:3" x14ac:dyDescent="0.25">
      <c r="A1245" s="14">
        <v>900172069</v>
      </c>
      <c r="B1245" s="11" t="s">
        <v>702</v>
      </c>
      <c r="C1245" s="19">
        <v>10000000</v>
      </c>
    </row>
    <row r="1246" spans="1:3" x14ac:dyDescent="0.25">
      <c r="A1246" s="14">
        <v>900172069</v>
      </c>
      <c r="B1246" s="11" t="s">
        <v>702</v>
      </c>
      <c r="C1246" s="19">
        <v>10000000</v>
      </c>
    </row>
    <row r="1247" spans="1:3" x14ac:dyDescent="0.25">
      <c r="A1247" s="14">
        <v>900172069</v>
      </c>
      <c r="B1247" s="11" t="s">
        <v>702</v>
      </c>
      <c r="C1247" s="19">
        <v>10000000</v>
      </c>
    </row>
    <row r="1248" spans="1:3" x14ac:dyDescent="0.25">
      <c r="A1248" s="14">
        <v>900172069</v>
      </c>
      <c r="B1248" s="11" t="s">
        <v>702</v>
      </c>
      <c r="C1248" s="19">
        <v>10000000</v>
      </c>
    </row>
    <row r="1249" spans="1:3" x14ac:dyDescent="0.25">
      <c r="A1249" s="14">
        <v>900172069</v>
      </c>
      <c r="B1249" s="11" t="s">
        <v>702</v>
      </c>
      <c r="C1249" s="19">
        <v>10000000</v>
      </c>
    </row>
    <row r="1250" spans="1:3" x14ac:dyDescent="0.25">
      <c r="A1250" s="14">
        <v>900172069</v>
      </c>
      <c r="B1250" s="11" t="s">
        <v>702</v>
      </c>
      <c r="C1250" s="19">
        <v>10000000</v>
      </c>
    </row>
    <row r="1251" spans="1:3" x14ac:dyDescent="0.25">
      <c r="A1251" s="14">
        <v>900172069</v>
      </c>
      <c r="B1251" s="11" t="s">
        <v>702</v>
      </c>
      <c r="C1251" s="19">
        <v>10000000</v>
      </c>
    </row>
    <row r="1252" spans="1:3" x14ac:dyDescent="0.25">
      <c r="A1252" s="14">
        <v>900172069</v>
      </c>
      <c r="B1252" s="11" t="s">
        <v>702</v>
      </c>
      <c r="C1252" s="19">
        <v>10000000</v>
      </c>
    </row>
    <row r="1253" spans="1:3" x14ac:dyDescent="0.25">
      <c r="A1253" s="14">
        <v>900172069</v>
      </c>
      <c r="B1253" s="11" t="s">
        <v>702</v>
      </c>
      <c r="C1253" s="19">
        <v>10000000</v>
      </c>
    </row>
    <row r="1254" spans="1:3" x14ac:dyDescent="0.25">
      <c r="A1254" s="14">
        <v>900172069</v>
      </c>
      <c r="B1254" s="11" t="s">
        <v>702</v>
      </c>
      <c r="C1254" s="19">
        <v>10000000</v>
      </c>
    </row>
    <row r="1255" spans="1:3" x14ac:dyDescent="0.25">
      <c r="A1255" s="14">
        <v>900172069</v>
      </c>
      <c r="B1255" s="11" t="s">
        <v>702</v>
      </c>
      <c r="C1255" s="19">
        <v>10000000</v>
      </c>
    </row>
    <row r="1256" spans="1:3" x14ac:dyDescent="0.25">
      <c r="A1256" s="14">
        <v>900172069</v>
      </c>
      <c r="B1256" s="11" t="s">
        <v>702</v>
      </c>
      <c r="C1256" s="19">
        <v>10000000</v>
      </c>
    </row>
    <row r="1257" spans="1:3" x14ac:dyDescent="0.25">
      <c r="A1257" s="14">
        <v>900322842</v>
      </c>
      <c r="B1257" s="11" t="s">
        <v>931</v>
      </c>
      <c r="C1257" s="19">
        <v>20000000</v>
      </c>
    </row>
    <row r="1258" spans="1:3" x14ac:dyDescent="0.25">
      <c r="A1258" s="14">
        <v>419</v>
      </c>
      <c r="B1258" s="11" t="s">
        <v>703</v>
      </c>
      <c r="C1258" s="19">
        <v>1000000</v>
      </c>
    </row>
    <row r="1259" spans="1:3" x14ac:dyDescent="0.25">
      <c r="A1259" s="14">
        <v>1070325571</v>
      </c>
      <c r="B1259" s="11" t="s">
        <v>704</v>
      </c>
      <c r="C1259" s="18">
        <v>1000000</v>
      </c>
    </row>
    <row r="1260" spans="1:3" x14ac:dyDescent="0.25">
      <c r="A1260" s="14">
        <v>53041717</v>
      </c>
      <c r="B1260" s="11" t="s">
        <v>705</v>
      </c>
      <c r="C1260" s="19">
        <v>1000000</v>
      </c>
    </row>
    <row r="1261" spans="1:3" x14ac:dyDescent="0.25">
      <c r="A1261" s="14">
        <v>901435824</v>
      </c>
      <c r="B1261" s="11" t="s">
        <v>706</v>
      </c>
      <c r="C1261" s="19">
        <v>10000000</v>
      </c>
    </row>
    <row r="1262" spans="1:3" x14ac:dyDescent="0.25">
      <c r="A1262" s="14">
        <v>120801761</v>
      </c>
      <c r="B1262" s="11" t="s">
        <v>707</v>
      </c>
      <c r="C1262" s="19">
        <v>1000000</v>
      </c>
    </row>
    <row r="1263" spans="1:3" x14ac:dyDescent="0.25">
      <c r="A1263" s="14">
        <v>1020801761</v>
      </c>
      <c r="B1263" s="11" t="s">
        <v>708</v>
      </c>
      <c r="C1263" s="19">
        <v>8000000</v>
      </c>
    </row>
    <row r="1264" spans="1:3" x14ac:dyDescent="0.25">
      <c r="A1264" s="14">
        <v>1016090875</v>
      </c>
      <c r="B1264" s="11" t="s">
        <v>709</v>
      </c>
      <c r="C1264" s="19">
        <v>1000000</v>
      </c>
    </row>
    <row r="1265" spans="1:3" x14ac:dyDescent="0.25">
      <c r="A1265" s="14">
        <v>830133449</v>
      </c>
      <c r="B1265" s="11" t="s">
        <v>710</v>
      </c>
      <c r="C1265" s="18">
        <v>1000000</v>
      </c>
    </row>
    <row r="1266" spans="1:3" x14ac:dyDescent="0.25">
      <c r="A1266" s="14">
        <v>830133449</v>
      </c>
      <c r="B1266" s="11" t="s">
        <v>710</v>
      </c>
      <c r="C1266" s="18">
        <v>1000000</v>
      </c>
    </row>
    <row r="1267" spans="1:3" x14ac:dyDescent="0.25">
      <c r="A1267" s="14">
        <v>150</v>
      </c>
      <c r="B1267" s="11" t="s">
        <v>711</v>
      </c>
      <c r="C1267" s="18">
        <v>1000000</v>
      </c>
    </row>
    <row r="1268" spans="1:3" x14ac:dyDescent="0.25">
      <c r="A1268" s="14">
        <v>715</v>
      </c>
      <c r="B1268" s="11" t="s">
        <v>711</v>
      </c>
      <c r="C1268" s="19">
        <v>1000000</v>
      </c>
    </row>
    <row r="1269" spans="1:3" x14ac:dyDescent="0.25">
      <c r="A1269" s="14">
        <v>93434691</v>
      </c>
      <c r="B1269" s="11" t="s">
        <v>711</v>
      </c>
      <c r="C1269" s="19">
        <v>1000000</v>
      </c>
    </row>
    <row r="1270" spans="1:3" x14ac:dyDescent="0.25">
      <c r="A1270" s="14">
        <v>86088872</v>
      </c>
      <c r="B1270" s="11" t="s">
        <v>712</v>
      </c>
      <c r="C1270" s="18">
        <v>1000000</v>
      </c>
    </row>
    <row r="1271" spans="1:3" x14ac:dyDescent="0.25">
      <c r="A1271" s="14">
        <v>800079603</v>
      </c>
      <c r="B1271" s="11" t="s">
        <v>713</v>
      </c>
      <c r="C1271" s="19">
        <v>30000000</v>
      </c>
    </row>
    <row r="1272" spans="1:3" x14ac:dyDescent="0.25">
      <c r="A1272" s="14">
        <v>901143367</v>
      </c>
      <c r="B1272" s="11" t="s">
        <v>789</v>
      </c>
      <c r="C1272" s="19">
        <v>1000000</v>
      </c>
    </row>
    <row r="1273" spans="1:3" x14ac:dyDescent="0.25">
      <c r="A1273" s="14">
        <v>901143367</v>
      </c>
      <c r="B1273" s="11" t="s">
        <v>789</v>
      </c>
      <c r="C1273" s="19">
        <v>1000000</v>
      </c>
    </row>
    <row r="1274" spans="1:3" x14ac:dyDescent="0.25">
      <c r="A1274" s="14">
        <v>900119324</v>
      </c>
      <c r="B1274" s="11" t="s">
        <v>714</v>
      </c>
      <c r="C1274" s="18">
        <v>1000000</v>
      </c>
    </row>
    <row r="1275" spans="1:3" x14ac:dyDescent="0.25">
      <c r="A1275" s="14">
        <v>1020797937</v>
      </c>
      <c r="B1275" s="11" t="s">
        <v>715</v>
      </c>
      <c r="C1275" s="18">
        <v>1000000</v>
      </c>
    </row>
    <row r="1276" spans="1:3" x14ac:dyDescent="0.25">
      <c r="A1276" s="14">
        <v>381</v>
      </c>
      <c r="B1276" s="11" t="s">
        <v>716</v>
      </c>
      <c r="C1276" s="19">
        <v>1000000</v>
      </c>
    </row>
    <row r="1277" spans="1:3" x14ac:dyDescent="0.25">
      <c r="A1277" s="14">
        <v>830057750</v>
      </c>
      <c r="B1277" s="11" t="s">
        <v>717</v>
      </c>
      <c r="C1277" s="19">
        <v>40000000</v>
      </c>
    </row>
    <row r="1278" spans="1:3" x14ac:dyDescent="0.25">
      <c r="A1278" s="14">
        <v>900055374</v>
      </c>
      <c r="B1278" s="11" t="s">
        <v>718</v>
      </c>
      <c r="C1278" s="19">
        <v>50000000</v>
      </c>
    </row>
    <row r="1279" spans="1:3" x14ac:dyDescent="0.25">
      <c r="A1279" s="14">
        <v>32907046</v>
      </c>
      <c r="B1279" s="11" t="s">
        <v>719</v>
      </c>
      <c r="C1279" s="19">
        <v>1000000</v>
      </c>
    </row>
    <row r="1280" spans="1:3" x14ac:dyDescent="0.25">
      <c r="A1280" s="14">
        <v>901347546</v>
      </c>
      <c r="B1280" s="11" t="s">
        <v>720</v>
      </c>
      <c r="C1280" s="19">
        <v>10000000</v>
      </c>
    </row>
    <row r="1281" spans="1:3" x14ac:dyDescent="0.25">
      <c r="A1281" s="14">
        <v>901347546</v>
      </c>
      <c r="B1281" s="11" t="s">
        <v>720</v>
      </c>
      <c r="C1281" s="19">
        <v>10000000</v>
      </c>
    </row>
    <row r="1282" spans="1:3" x14ac:dyDescent="0.25">
      <c r="A1282" s="14">
        <v>901353439</v>
      </c>
      <c r="B1282" s="11" t="s">
        <v>721</v>
      </c>
      <c r="C1282" s="18">
        <v>1000000</v>
      </c>
    </row>
    <row r="1283" spans="1:3" x14ac:dyDescent="0.25">
      <c r="A1283" s="14">
        <v>901718424</v>
      </c>
      <c r="B1283" s="11" t="s">
        <v>722</v>
      </c>
      <c r="C1283" s="18">
        <v>1000000</v>
      </c>
    </row>
    <row r="1284" spans="1:3" x14ac:dyDescent="0.25">
      <c r="A1284" s="14">
        <v>987456</v>
      </c>
      <c r="B1284" s="11" t="s">
        <v>1205</v>
      </c>
      <c r="C1284" s="18">
        <v>1000000</v>
      </c>
    </row>
    <row r="1285" spans="1:3" x14ac:dyDescent="0.25">
      <c r="A1285" s="14">
        <v>900380666</v>
      </c>
      <c r="B1285" s="11" t="s">
        <v>723</v>
      </c>
      <c r="C1285" s="19">
        <v>1000000</v>
      </c>
    </row>
    <row r="1286" spans="1:3" x14ac:dyDescent="0.25">
      <c r="A1286" s="14">
        <v>41459967</v>
      </c>
      <c r="B1286" s="11" t="s">
        <v>724</v>
      </c>
      <c r="C1286" s="19">
        <v>1000000</v>
      </c>
    </row>
    <row r="1287" spans="1:3" x14ac:dyDescent="0.25">
      <c r="A1287" s="14">
        <v>52973625</v>
      </c>
      <c r="B1287" s="11" t="s">
        <v>852</v>
      </c>
      <c r="C1287" s="19">
        <v>0</v>
      </c>
    </row>
    <row r="1288" spans="1:3" x14ac:dyDescent="0.25">
      <c r="A1288" s="14">
        <v>900389754</v>
      </c>
      <c r="B1288" s="11" t="s">
        <v>806</v>
      </c>
      <c r="C1288" s="19">
        <v>5000000</v>
      </c>
    </row>
    <row r="1289" spans="1:3" x14ac:dyDescent="0.25">
      <c r="A1289" s="14">
        <v>900389754</v>
      </c>
      <c r="B1289" s="11" t="s">
        <v>806</v>
      </c>
      <c r="C1289" s="19">
        <v>5000000</v>
      </c>
    </row>
    <row r="1290" spans="1:3" x14ac:dyDescent="0.25">
      <c r="A1290" s="14">
        <v>900389754</v>
      </c>
      <c r="B1290" s="11" t="s">
        <v>806</v>
      </c>
      <c r="C1290" s="19">
        <v>5000000</v>
      </c>
    </row>
    <row r="1291" spans="1:3" x14ac:dyDescent="0.25">
      <c r="A1291" s="14">
        <v>900389754</v>
      </c>
      <c r="B1291" s="11" t="s">
        <v>806</v>
      </c>
      <c r="C1291" s="19">
        <v>5000000</v>
      </c>
    </row>
    <row r="1292" spans="1:3" x14ac:dyDescent="0.25">
      <c r="A1292" s="14">
        <v>901466394</v>
      </c>
      <c r="B1292" s="11" t="s">
        <v>725</v>
      </c>
      <c r="C1292" s="19">
        <v>10000000</v>
      </c>
    </row>
    <row r="1293" spans="1:3" x14ac:dyDescent="0.25">
      <c r="A1293" s="14">
        <v>41659906</v>
      </c>
      <c r="B1293" s="11" t="s">
        <v>726</v>
      </c>
      <c r="C1293" s="18">
        <v>1000000</v>
      </c>
    </row>
    <row r="1294" spans="1:3" x14ac:dyDescent="0.25">
      <c r="A1294" s="14">
        <v>165</v>
      </c>
      <c r="B1294" s="11" t="s">
        <v>726</v>
      </c>
      <c r="C1294" s="18">
        <v>1000000</v>
      </c>
    </row>
    <row r="1295" spans="1:3" x14ac:dyDescent="0.25">
      <c r="A1295" s="14">
        <v>172</v>
      </c>
      <c r="B1295" s="11" t="s">
        <v>727</v>
      </c>
      <c r="C1295" s="18">
        <v>1000000</v>
      </c>
    </row>
    <row r="1296" spans="1:3" x14ac:dyDescent="0.25">
      <c r="A1296" s="14">
        <v>12345</v>
      </c>
      <c r="B1296" s="11" t="s">
        <v>728</v>
      </c>
      <c r="C1296" s="18">
        <v>1000000</v>
      </c>
    </row>
    <row r="1297" spans="1:3" x14ac:dyDescent="0.25">
      <c r="A1297" s="14">
        <v>830071626</v>
      </c>
      <c r="B1297" s="11" t="s">
        <v>818</v>
      </c>
      <c r="C1297" s="19">
        <v>20000000</v>
      </c>
    </row>
    <row r="1298" spans="1:3" x14ac:dyDescent="0.25">
      <c r="A1298" s="14">
        <v>830071626</v>
      </c>
      <c r="B1298" s="11" t="s">
        <v>818</v>
      </c>
      <c r="C1298" s="19">
        <v>20000000</v>
      </c>
    </row>
    <row r="1299" spans="1:3" x14ac:dyDescent="0.25">
      <c r="A1299" s="14">
        <v>830071626</v>
      </c>
      <c r="B1299" s="11" t="s">
        <v>818</v>
      </c>
      <c r="C1299" s="19">
        <v>20000000</v>
      </c>
    </row>
    <row r="1300" spans="1:3" x14ac:dyDescent="0.25">
      <c r="A1300" s="14">
        <v>830071626</v>
      </c>
      <c r="B1300" s="11" t="s">
        <v>818</v>
      </c>
      <c r="C1300" s="19">
        <v>20000000</v>
      </c>
    </row>
    <row r="1301" spans="1:3" x14ac:dyDescent="0.25">
      <c r="A1301" s="14">
        <v>830071626</v>
      </c>
      <c r="B1301" s="11" t="s">
        <v>818</v>
      </c>
      <c r="C1301" s="19">
        <v>20000000</v>
      </c>
    </row>
    <row r="1302" spans="1:3" x14ac:dyDescent="0.25">
      <c r="A1302" s="14">
        <v>830071626</v>
      </c>
      <c r="B1302" s="11" t="s">
        <v>818</v>
      </c>
      <c r="C1302" s="19">
        <v>20000000</v>
      </c>
    </row>
    <row r="1303" spans="1:3" x14ac:dyDescent="0.25">
      <c r="A1303" s="14">
        <v>392</v>
      </c>
      <c r="B1303" s="11" t="s">
        <v>729</v>
      </c>
      <c r="C1303" s="19">
        <v>1000000</v>
      </c>
    </row>
    <row r="1304" spans="1:3" x14ac:dyDescent="0.25">
      <c r="A1304" s="14">
        <v>901314217</v>
      </c>
      <c r="B1304" s="11" t="s">
        <v>730</v>
      </c>
      <c r="C1304" s="19">
        <v>1000000</v>
      </c>
    </row>
    <row r="1305" spans="1:3" x14ac:dyDescent="0.25">
      <c r="A1305" s="14">
        <v>830508860</v>
      </c>
      <c r="B1305" s="11" t="s">
        <v>731</v>
      </c>
      <c r="C1305" s="19">
        <v>1000000</v>
      </c>
    </row>
    <row r="1306" spans="1:3" x14ac:dyDescent="0.25">
      <c r="A1306" s="14">
        <v>830508860</v>
      </c>
      <c r="B1306" s="11" t="s">
        <v>731</v>
      </c>
      <c r="C1306" s="19">
        <v>1000000</v>
      </c>
    </row>
    <row r="1307" spans="1:3" x14ac:dyDescent="0.25">
      <c r="A1307" s="14">
        <v>830508860</v>
      </c>
      <c r="B1307" s="11" t="s">
        <v>731</v>
      </c>
      <c r="C1307" s="19">
        <v>1000000</v>
      </c>
    </row>
    <row r="1308" spans="1:3" x14ac:dyDescent="0.25">
      <c r="A1308" s="14">
        <v>830508860</v>
      </c>
      <c r="B1308" s="11" t="s">
        <v>731</v>
      </c>
      <c r="C1308" s="19">
        <v>1000000</v>
      </c>
    </row>
    <row r="1309" spans="1:3" x14ac:dyDescent="0.25">
      <c r="A1309" s="14">
        <v>830508860</v>
      </c>
      <c r="B1309" s="11" t="s">
        <v>731</v>
      </c>
      <c r="C1309" s="19">
        <v>1000000</v>
      </c>
    </row>
    <row r="1310" spans="1:3" x14ac:dyDescent="0.25">
      <c r="A1310" s="14">
        <v>901741042</v>
      </c>
      <c r="B1310" s="11" t="s">
        <v>732</v>
      </c>
      <c r="C1310" s="19">
        <v>1000000</v>
      </c>
    </row>
    <row r="1311" spans="1:3" x14ac:dyDescent="0.25">
      <c r="A1311" s="14">
        <v>901044999</v>
      </c>
      <c r="B1311" s="11" t="s">
        <v>1206</v>
      </c>
      <c r="C1311" s="19">
        <v>2000000</v>
      </c>
    </row>
    <row r="1312" spans="1:3" x14ac:dyDescent="0.25">
      <c r="A1312" s="14">
        <v>830081427</v>
      </c>
      <c r="B1312" s="11" t="s">
        <v>733</v>
      </c>
      <c r="C1312" s="19">
        <v>140000000</v>
      </c>
    </row>
    <row r="1313" spans="1:3" x14ac:dyDescent="0.25">
      <c r="A1313" s="14">
        <v>830081427</v>
      </c>
      <c r="B1313" s="11" t="s">
        <v>733</v>
      </c>
      <c r="C1313" s="19">
        <v>140000000</v>
      </c>
    </row>
    <row r="1314" spans="1:3" x14ac:dyDescent="0.25">
      <c r="A1314" s="14">
        <v>830081427</v>
      </c>
      <c r="B1314" s="11" t="s">
        <v>733</v>
      </c>
      <c r="C1314" s="19">
        <v>140000000</v>
      </c>
    </row>
    <row r="1315" spans="1:3" x14ac:dyDescent="0.25">
      <c r="A1315" s="14">
        <v>830081427</v>
      </c>
      <c r="B1315" s="11" t="s">
        <v>733</v>
      </c>
      <c r="C1315" s="19">
        <v>140000000</v>
      </c>
    </row>
    <row r="1316" spans="1:3" x14ac:dyDescent="0.25">
      <c r="A1316" s="14">
        <v>830081427</v>
      </c>
      <c r="B1316" s="11" t="s">
        <v>733</v>
      </c>
      <c r="C1316" s="19">
        <v>140000000</v>
      </c>
    </row>
    <row r="1317" spans="1:3" x14ac:dyDescent="0.25">
      <c r="A1317" s="14">
        <v>830081427</v>
      </c>
      <c r="B1317" s="11" t="s">
        <v>733</v>
      </c>
      <c r="C1317" s="19">
        <v>140000000</v>
      </c>
    </row>
    <row r="1318" spans="1:3" x14ac:dyDescent="0.25">
      <c r="A1318" s="14">
        <v>830081427</v>
      </c>
      <c r="B1318" s="11" t="s">
        <v>733</v>
      </c>
      <c r="C1318" s="19">
        <v>140000000</v>
      </c>
    </row>
    <row r="1319" spans="1:3" x14ac:dyDescent="0.25">
      <c r="A1319" s="14">
        <v>830081427</v>
      </c>
      <c r="B1319" s="11" t="s">
        <v>733</v>
      </c>
      <c r="C1319" s="19">
        <v>140000000</v>
      </c>
    </row>
    <row r="1320" spans="1:3" x14ac:dyDescent="0.25">
      <c r="A1320" s="14">
        <v>830081427</v>
      </c>
      <c r="B1320" s="11" t="s">
        <v>733</v>
      </c>
      <c r="C1320" s="19">
        <v>140000000</v>
      </c>
    </row>
    <row r="1321" spans="1:3" x14ac:dyDescent="0.25">
      <c r="A1321" s="14">
        <v>830081427</v>
      </c>
      <c r="B1321" s="11" t="s">
        <v>733</v>
      </c>
      <c r="C1321" s="19">
        <v>140000000</v>
      </c>
    </row>
    <row r="1322" spans="1:3" x14ac:dyDescent="0.25">
      <c r="A1322" s="14">
        <v>830081427</v>
      </c>
      <c r="B1322" s="11" t="s">
        <v>733</v>
      </c>
      <c r="C1322" s="19">
        <v>140000000</v>
      </c>
    </row>
    <row r="1323" spans="1:3" x14ac:dyDescent="0.25">
      <c r="A1323" s="14">
        <v>830081427</v>
      </c>
      <c r="B1323" s="11" t="s">
        <v>733</v>
      </c>
      <c r="C1323" s="19">
        <v>140000000</v>
      </c>
    </row>
    <row r="1324" spans="1:3" x14ac:dyDescent="0.25">
      <c r="A1324" s="14">
        <v>830081427</v>
      </c>
      <c r="B1324" s="11" t="s">
        <v>733</v>
      </c>
      <c r="C1324" s="19">
        <v>140000000</v>
      </c>
    </row>
    <row r="1325" spans="1:3" x14ac:dyDescent="0.25">
      <c r="A1325" s="14">
        <v>830081427</v>
      </c>
      <c r="B1325" s="11" t="s">
        <v>733</v>
      </c>
      <c r="C1325" s="19">
        <v>140000000</v>
      </c>
    </row>
    <row r="1326" spans="1:3" x14ac:dyDescent="0.25">
      <c r="A1326" s="14">
        <v>830081427</v>
      </c>
      <c r="B1326" s="11" t="s">
        <v>733</v>
      </c>
      <c r="C1326" s="19">
        <v>140000000</v>
      </c>
    </row>
    <row r="1327" spans="1:3" x14ac:dyDescent="0.25">
      <c r="A1327" s="14">
        <v>830081427</v>
      </c>
      <c r="B1327" s="11" t="s">
        <v>733</v>
      </c>
      <c r="C1327" s="19">
        <v>140000000</v>
      </c>
    </row>
    <row r="1328" spans="1:3" x14ac:dyDescent="0.25">
      <c r="A1328" s="14">
        <v>830081427</v>
      </c>
      <c r="B1328" s="11" t="s">
        <v>733</v>
      </c>
      <c r="C1328" s="19">
        <v>140000000</v>
      </c>
    </row>
    <row r="1329" spans="1:3" x14ac:dyDescent="0.25">
      <c r="A1329" s="14">
        <v>830081427</v>
      </c>
      <c r="B1329" s="11" t="s">
        <v>733</v>
      </c>
      <c r="C1329" s="19">
        <v>140000000</v>
      </c>
    </row>
    <row r="1330" spans="1:3" x14ac:dyDescent="0.25">
      <c r="A1330" s="14">
        <v>830081427</v>
      </c>
      <c r="B1330" s="11" t="s">
        <v>733</v>
      </c>
      <c r="C1330" s="19">
        <v>140000000</v>
      </c>
    </row>
    <row r="1331" spans="1:3" x14ac:dyDescent="0.25">
      <c r="A1331" s="14">
        <v>16137934</v>
      </c>
      <c r="B1331" s="11" t="s">
        <v>1045</v>
      </c>
      <c r="C1331" s="19">
        <v>0</v>
      </c>
    </row>
    <row r="1332" spans="1:3" x14ac:dyDescent="0.25">
      <c r="A1332" s="14">
        <v>152</v>
      </c>
      <c r="B1332" s="11" t="s">
        <v>734</v>
      </c>
      <c r="C1332" s="18">
        <v>1000000</v>
      </c>
    </row>
    <row r="1333" spans="1:3" x14ac:dyDescent="0.25">
      <c r="A1333" s="14">
        <v>19087926</v>
      </c>
      <c r="B1333" s="11" t="s">
        <v>735</v>
      </c>
      <c r="C1333" s="19">
        <v>1000000</v>
      </c>
    </row>
    <row r="1334" spans="1:3" x14ac:dyDescent="0.25">
      <c r="A1334" s="14">
        <v>901221071</v>
      </c>
      <c r="B1334" s="11" t="s">
        <v>736</v>
      </c>
      <c r="C1334" s="19">
        <v>1000000</v>
      </c>
    </row>
    <row r="1335" spans="1:3" x14ac:dyDescent="0.25">
      <c r="A1335" s="14">
        <v>900545146</v>
      </c>
      <c r="B1335" s="11" t="s">
        <v>737</v>
      </c>
      <c r="C1335" s="19">
        <v>1000000</v>
      </c>
    </row>
    <row r="1336" spans="1:3" x14ac:dyDescent="0.25">
      <c r="A1336" s="14">
        <v>901498165</v>
      </c>
      <c r="B1336" s="11" t="s">
        <v>935</v>
      </c>
      <c r="C1336" s="19">
        <v>15000000</v>
      </c>
    </row>
    <row r="1337" spans="1:3" x14ac:dyDescent="0.25">
      <c r="A1337" s="14">
        <v>901400632</v>
      </c>
      <c r="B1337" s="11" t="s">
        <v>738</v>
      </c>
      <c r="C1337" s="19">
        <v>1000000</v>
      </c>
    </row>
    <row r="1338" spans="1:3" x14ac:dyDescent="0.25">
      <c r="A1338" s="14">
        <v>830088374</v>
      </c>
      <c r="B1338" s="11" t="s">
        <v>739</v>
      </c>
      <c r="C1338" s="19">
        <v>1000000</v>
      </c>
    </row>
    <row r="1339" spans="1:3" x14ac:dyDescent="0.25">
      <c r="A1339" s="14">
        <v>901324793</v>
      </c>
      <c r="B1339" s="11" t="s">
        <v>740</v>
      </c>
      <c r="C1339" s="19">
        <v>10000000</v>
      </c>
    </row>
    <row r="1340" spans="1:3" x14ac:dyDescent="0.25">
      <c r="A1340" s="14">
        <v>901324793</v>
      </c>
      <c r="B1340" s="11" t="s">
        <v>740</v>
      </c>
      <c r="C1340" s="19">
        <v>10000000</v>
      </c>
    </row>
    <row r="1341" spans="1:3" x14ac:dyDescent="0.25">
      <c r="A1341" s="14">
        <v>901324793</v>
      </c>
      <c r="B1341" s="11" t="s">
        <v>740</v>
      </c>
      <c r="C1341" s="19">
        <v>10000000</v>
      </c>
    </row>
    <row r="1342" spans="1:3" x14ac:dyDescent="0.25">
      <c r="A1342" s="14">
        <v>901324793</v>
      </c>
      <c r="B1342" s="11" t="s">
        <v>740</v>
      </c>
      <c r="C1342" s="19">
        <v>10000000</v>
      </c>
    </row>
    <row r="1343" spans="1:3" x14ac:dyDescent="0.25">
      <c r="A1343" s="14">
        <v>800221079</v>
      </c>
      <c r="B1343" s="11" t="s">
        <v>1207</v>
      </c>
      <c r="C1343" s="19">
        <v>0</v>
      </c>
    </row>
    <row r="1344" spans="1:3" x14ac:dyDescent="0.25">
      <c r="A1344" s="14">
        <v>901399873</v>
      </c>
      <c r="B1344" s="11" t="s">
        <v>741</v>
      </c>
      <c r="C1344" s="19">
        <v>10000000</v>
      </c>
    </row>
    <row r="1345" spans="1:3" x14ac:dyDescent="0.25">
      <c r="A1345" s="14">
        <v>901317417</v>
      </c>
      <c r="B1345" s="11" t="s">
        <v>742</v>
      </c>
      <c r="C1345" s="19">
        <v>1000000</v>
      </c>
    </row>
    <row r="1346" spans="1:3" x14ac:dyDescent="0.25">
      <c r="A1346" s="14">
        <v>901417317</v>
      </c>
      <c r="B1346" s="11" t="s">
        <v>743</v>
      </c>
      <c r="C1346" s="19">
        <v>1000000</v>
      </c>
    </row>
    <row r="1347" spans="1:3" x14ac:dyDescent="0.25">
      <c r="A1347" s="14">
        <v>94460960</v>
      </c>
      <c r="B1347" s="11" t="s">
        <v>744</v>
      </c>
      <c r="C1347" s="19">
        <v>1000000</v>
      </c>
    </row>
    <row r="1348" spans="1:3" x14ac:dyDescent="0.25">
      <c r="A1348" s="14">
        <v>901213935</v>
      </c>
      <c r="B1348" s="11" t="s">
        <v>790</v>
      </c>
      <c r="C1348" s="18">
        <v>1000000</v>
      </c>
    </row>
    <row r="1349" spans="1:3" x14ac:dyDescent="0.25">
      <c r="A1349" s="14">
        <v>901213935</v>
      </c>
      <c r="B1349" s="11" t="s">
        <v>790</v>
      </c>
      <c r="C1349" s="18">
        <v>1000000</v>
      </c>
    </row>
    <row r="1350" spans="1:3" x14ac:dyDescent="0.25">
      <c r="A1350" s="14">
        <v>901952530</v>
      </c>
      <c r="B1350" s="11" t="s">
        <v>1047</v>
      </c>
      <c r="C1350" s="19">
        <v>5000000</v>
      </c>
    </row>
    <row r="1351" spans="1:3" x14ac:dyDescent="0.25">
      <c r="A1351" s="14">
        <v>901952530</v>
      </c>
      <c r="B1351" s="11" t="s">
        <v>1047</v>
      </c>
      <c r="C1351" s="19">
        <v>5000000</v>
      </c>
    </row>
    <row r="1352" spans="1:3" x14ac:dyDescent="0.25">
      <c r="A1352" s="14">
        <v>1022372328</v>
      </c>
      <c r="B1352" s="11" t="s">
        <v>745</v>
      </c>
      <c r="C1352" s="18">
        <v>1000000</v>
      </c>
    </row>
    <row r="1353" spans="1:3" x14ac:dyDescent="0.25">
      <c r="A1353" s="14">
        <v>901124662</v>
      </c>
      <c r="B1353" s="11" t="s">
        <v>967</v>
      </c>
      <c r="C1353" s="19">
        <v>5000000</v>
      </c>
    </row>
    <row r="1354" spans="1:3" x14ac:dyDescent="0.25">
      <c r="A1354" s="14">
        <v>901124662</v>
      </c>
      <c r="B1354" s="11" t="s">
        <v>967</v>
      </c>
      <c r="C1354" s="19">
        <v>5000000</v>
      </c>
    </row>
    <row r="1355" spans="1:3" x14ac:dyDescent="0.25">
      <c r="A1355" s="14">
        <v>40011907</v>
      </c>
      <c r="B1355" s="11" t="s">
        <v>746</v>
      </c>
      <c r="C1355" s="19">
        <v>1000000</v>
      </c>
    </row>
    <row r="1356" spans="1:3" x14ac:dyDescent="0.25">
      <c r="A1356" s="14">
        <v>901513875</v>
      </c>
      <c r="B1356" s="11" t="s">
        <v>747</v>
      </c>
      <c r="C1356" s="18">
        <v>1000000</v>
      </c>
    </row>
    <row r="1357" spans="1:3" x14ac:dyDescent="0.25">
      <c r="A1357" s="14">
        <v>900859016</v>
      </c>
      <c r="B1357" s="11" t="s">
        <v>748</v>
      </c>
      <c r="C1357" s="18">
        <v>1000000</v>
      </c>
    </row>
    <row r="1358" spans="1:3" x14ac:dyDescent="0.25">
      <c r="A1358" s="14">
        <v>900859016</v>
      </c>
      <c r="B1358" s="11" t="s">
        <v>748</v>
      </c>
      <c r="C1358" s="18">
        <v>1000000</v>
      </c>
    </row>
    <row r="1359" spans="1:3" x14ac:dyDescent="0.25">
      <c r="A1359" s="14">
        <v>1010230652</v>
      </c>
      <c r="B1359" s="11" t="s">
        <v>749</v>
      </c>
      <c r="C1359" s="18">
        <v>1000000</v>
      </c>
    </row>
    <row r="1360" spans="1:3" x14ac:dyDescent="0.25">
      <c r="A1360" s="14">
        <v>800252619</v>
      </c>
      <c r="B1360" s="11" t="s">
        <v>750</v>
      </c>
      <c r="C1360" s="18">
        <v>1000000</v>
      </c>
    </row>
    <row r="1361" spans="1:3" x14ac:dyDescent="0.25">
      <c r="A1361" s="14">
        <v>1016114081</v>
      </c>
      <c r="B1361" s="11" t="s">
        <v>1208</v>
      </c>
      <c r="C1361" s="18">
        <v>0</v>
      </c>
    </row>
    <row r="1362" spans="1:3" x14ac:dyDescent="0.25">
      <c r="A1362" s="14">
        <v>1000794346</v>
      </c>
      <c r="B1362" s="11" t="s">
        <v>816</v>
      </c>
      <c r="C1362" s="19">
        <v>1000000</v>
      </c>
    </row>
    <row r="1363" spans="1:3" x14ac:dyDescent="0.25">
      <c r="A1363" s="14">
        <v>1069492514</v>
      </c>
      <c r="B1363" s="11" t="s">
        <v>751</v>
      </c>
      <c r="C1363" s="19">
        <v>1000000</v>
      </c>
    </row>
    <row r="1364" spans="1:3" x14ac:dyDescent="0.25">
      <c r="A1364" s="14">
        <v>13615090</v>
      </c>
      <c r="B1364" s="11" t="s">
        <v>752</v>
      </c>
      <c r="C1364" s="19">
        <v>1000000</v>
      </c>
    </row>
    <row r="1365" spans="1:3" x14ac:dyDescent="0.25">
      <c r="A1365" s="14">
        <v>80795478</v>
      </c>
      <c r="B1365" s="11" t="s">
        <v>753</v>
      </c>
      <c r="C1365" s="18">
        <v>1000000</v>
      </c>
    </row>
    <row r="1366" spans="1:3" x14ac:dyDescent="0.25">
      <c r="A1366" s="14">
        <v>17355868</v>
      </c>
      <c r="B1366" s="11" t="s">
        <v>1209</v>
      </c>
      <c r="C1366" s="18">
        <v>1000000</v>
      </c>
    </row>
    <row r="1367" spans="1:3" x14ac:dyDescent="0.25">
      <c r="A1367" s="14">
        <v>901679729</v>
      </c>
      <c r="B1367" s="11" t="s">
        <v>1049</v>
      </c>
      <c r="C1367" s="19">
        <v>10000000</v>
      </c>
    </row>
    <row r="1368" spans="1:3" x14ac:dyDescent="0.25">
      <c r="A1368" s="14">
        <v>1</v>
      </c>
      <c r="B1368" s="11" t="s">
        <v>754</v>
      </c>
      <c r="C1368" s="18">
        <v>1000000</v>
      </c>
    </row>
    <row r="1369" spans="1:3" x14ac:dyDescent="0.25">
      <c r="A1369" s="14">
        <v>900895145</v>
      </c>
      <c r="B1369" s="11" t="s">
        <v>755</v>
      </c>
      <c r="C1369" s="19">
        <v>1000000</v>
      </c>
    </row>
    <row r="1370" spans="1:3" x14ac:dyDescent="0.25">
      <c r="A1370" s="14">
        <v>1026262490</v>
      </c>
      <c r="B1370" s="11" t="s">
        <v>756</v>
      </c>
      <c r="C1370" s="19">
        <v>1000000</v>
      </c>
    </row>
    <row r="1371" spans="1:3" x14ac:dyDescent="0.25">
      <c r="A1371" s="14">
        <v>1019078093</v>
      </c>
      <c r="B1371" s="11" t="s">
        <v>757</v>
      </c>
      <c r="C1371" s="19">
        <v>1000000</v>
      </c>
    </row>
    <row r="1372" spans="1:3" x14ac:dyDescent="0.25">
      <c r="A1372" s="14">
        <v>415485</v>
      </c>
      <c r="B1372" s="11" t="s">
        <v>758</v>
      </c>
      <c r="C1372" s="19">
        <v>1000000</v>
      </c>
    </row>
    <row r="1373" spans="1:3" x14ac:dyDescent="0.25">
      <c r="A1373" s="14">
        <v>10284757</v>
      </c>
      <c r="B1373" s="11" t="s">
        <v>759</v>
      </c>
      <c r="C1373" s="19">
        <v>1000000</v>
      </c>
    </row>
    <row r="1374" spans="1:3" x14ac:dyDescent="0.25">
      <c r="A1374" s="14">
        <v>80159388</v>
      </c>
      <c r="B1374" s="11" t="s">
        <v>760</v>
      </c>
      <c r="C1374" s="19">
        <v>1000000</v>
      </c>
    </row>
    <row r="1375" spans="1:3" x14ac:dyDescent="0.25">
      <c r="A1375" s="14">
        <v>860034118</v>
      </c>
      <c r="B1375" s="11" t="s">
        <v>761</v>
      </c>
      <c r="C1375" s="18">
        <v>1000000</v>
      </c>
    </row>
    <row r="1376" spans="1:3" x14ac:dyDescent="0.25">
      <c r="A1376" s="14">
        <v>900892356</v>
      </c>
      <c r="B1376" s="11" t="s">
        <v>1051</v>
      </c>
      <c r="C1376" s="19">
        <v>0</v>
      </c>
    </row>
    <row r="1377" spans="1:3" x14ac:dyDescent="0.25">
      <c r="A1377" s="14">
        <v>901093584</v>
      </c>
      <c r="B1377" s="11" t="s">
        <v>762</v>
      </c>
      <c r="C1377" s="18">
        <v>1000000</v>
      </c>
    </row>
    <row r="1378" spans="1:3" x14ac:dyDescent="0.25">
      <c r="A1378" s="14">
        <v>1019101822</v>
      </c>
      <c r="B1378" s="11" t="s">
        <v>932</v>
      </c>
      <c r="C1378" s="19">
        <v>2000000</v>
      </c>
    </row>
    <row r="1379" spans="1:3" x14ac:dyDescent="0.25">
      <c r="A1379" s="14">
        <v>80773361</v>
      </c>
      <c r="B1379" s="11" t="s">
        <v>763</v>
      </c>
      <c r="C1379" s="19">
        <v>1000000</v>
      </c>
    </row>
    <row r="1380" spans="1:3" x14ac:dyDescent="0.25">
      <c r="A1380" s="14">
        <v>80773361</v>
      </c>
      <c r="B1380" s="11" t="s">
        <v>763</v>
      </c>
      <c r="C1380" s="19">
        <v>1000000</v>
      </c>
    </row>
    <row r="1381" spans="1:3" x14ac:dyDescent="0.25">
      <c r="A1381" s="14">
        <v>1143340095</v>
      </c>
      <c r="B1381" s="11" t="s">
        <v>1210</v>
      </c>
      <c r="C1381" s="19">
        <v>1000000</v>
      </c>
    </row>
    <row r="1382" spans="1:3" x14ac:dyDescent="0.25">
      <c r="A1382" s="14">
        <v>901040800</v>
      </c>
      <c r="B1382" s="11" t="s">
        <v>817</v>
      </c>
      <c r="C1382" s="19">
        <v>5000000</v>
      </c>
    </row>
    <row r="1383" spans="1:3" x14ac:dyDescent="0.25">
      <c r="A1383" s="14">
        <v>5995677</v>
      </c>
      <c r="B1383" s="11" t="s">
        <v>764</v>
      </c>
      <c r="C1383" s="19">
        <v>1000000</v>
      </c>
    </row>
    <row r="1384" spans="1:3" x14ac:dyDescent="0.25">
      <c r="A1384" s="14">
        <v>1016100179</v>
      </c>
      <c r="B1384" s="11" t="s">
        <v>1211</v>
      </c>
      <c r="C1384" s="19">
        <v>0</v>
      </c>
    </row>
    <row r="1385" spans="1:3" x14ac:dyDescent="0.25">
      <c r="A1385" s="14">
        <v>1103364742</v>
      </c>
      <c r="B1385" s="11" t="s">
        <v>899</v>
      </c>
      <c r="C1385" s="19">
        <v>0</v>
      </c>
    </row>
    <row r="1386" spans="1:3" x14ac:dyDescent="0.25">
      <c r="A1386" s="14">
        <v>142</v>
      </c>
      <c r="B1386" s="11" t="s">
        <v>765</v>
      </c>
      <c r="C1386" s="18">
        <v>1000000</v>
      </c>
    </row>
    <row r="1387" spans="1:3" x14ac:dyDescent="0.25">
      <c r="A1387" s="14">
        <v>1032479716</v>
      </c>
      <c r="B1387" s="11" t="s">
        <v>766</v>
      </c>
      <c r="C1387" s="19">
        <v>1000000</v>
      </c>
    </row>
    <row r="1388" spans="1:3" x14ac:dyDescent="0.25">
      <c r="A1388" s="14">
        <v>1058843253</v>
      </c>
      <c r="B1388" s="11" t="s">
        <v>892</v>
      </c>
      <c r="C1388" s="19">
        <v>1000000</v>
      </c>
    </row>
    <row r="1389" spans="1:3" x14ac:dyDescent="0.25">
      <c r="A1389" s="14">
        <v>1016030225</v>
      </c>
      <c r="B1389" s="11" t="s">
        <v>896</v>
      </c>
      <c r="C1389" s="19">
        <v>0</v>
      </c>
    </row>
    <row r="1390" spans="1:3" x14ac:dyDescent="0.25">
      <c r="A1390" s="14">
        <v>1020812060</v>
      </c>
      <c r="B1390" s="11" t="s">
        <v>767</v>
      </c>
      <c r="C1390" s="19">
        <v>1000000</v>
      </c>
    </row>
    <row r="1391" spans="1:3" x14ac:dyDescent="0.25">
      <c r="A1391" s="14">
        <v>900935009</v>
      </c>
      <c r="B1391" s="11" t="s">
        <v>768</v>
      </c>
      <c r="C1391" s="18">
        <v>1000000</v>
      </c>
    </row>
    <row r="1392" spans="1:3" x14ac:dyDescent="0.25">
      <c r="A1392" s="14">
        <v>901393619</v>
      </c>
      <c r="B1392" s="11" t="s">
        <v>1212</v>
      </c>
      <c r="C1392" s="18">
        <v>1000000</v>
      </c>
    </row>
    <row r="1393" spans="1:3" x14ac:dyDescent="0.25">
      <c r="A1393" s="14">
        <v>901212232</v>
      </c>
      <c r="B1393" s="11" t="s">
        <v>769</v>
      </c>
      <c r="C1393" s="19">
        <v>20000000</v>
      </c>
    </row>
    <row r="1394" spans="1:3" x14ac:dyDescent="0.25">
      <c r="A1394" s="14">
        <v>901212232</v>
      </c>
      <c r="B1394" s="11" t="s">
        <v>769</v>
      </c>
      <c r="C1394" s="19">
        <v>20000000</v>
      </c>
    </row>
    <row r="1395" spans="1:3" x14ac:dyDescent="0.25">
      <c r="A1395" s="14">
        <v>229</v>
      </c>
      <c r="B1395" s="11" t="s">
        <v>770</v>
      </c>
      <c r="C1395" s="19">
        <v>1000000</v>
      </c>
    </row>
    <row r="1396" spans="1:3" x14ac:dyDescent="0.25">
      <c r="A1396" s="14">
        <v>1013621054</v>
      </c>
      <c r="B1396" s="11" t="s">
        <v>771</v>
      </c>
      <c r="C1396" s="19">
        <v>1000000</v>
      </c>
    </row>
    <row r="1397" spans="1:3" x14ac:dyDescent="0.25">
      <c r="A1397" s="14">
        <v>900570364</v>
      </c>
      <c r="B1397" s="11" t="s">
        <v>772</v>
      </c>
      <c r="C1397" s="19">
        <v>1000000</v>
      </c>
    </row>
    <row r="1398" spans="1:3" x14ac:dyDescent="0.25">
      <c r="A1398" s="14">
        <v>35378811</v>
      </c>
      <c r="B1398" s="11" t="s">
        <v>856</v>
      </c>
      <c r="C1398" s="19">
        <v>0</v>
      </c>
    </row>
    <row r="1399" spans="1:3" x14ac:dyDescent="0.25">
      <c r="A1399" s="14">
        <v>131</v>
      </c>
      <c r="B1399" s="11" t="s">
        <v>773</v>
      </c>
      <c r="C1399" s="18">
        <v>1000000</v>
      </c>
    </row>
    <row r="1400" spans="1:3" x14ac:dyDescent="0.25">
      <c r="A1400" s="14">
        <v>702</v>
      </c>
      <c r="B1400" s="11" t="s">
        <v>774</v>
      </c>
      <c r="C1400" s="19">
        <v>1000000</v>
      </c>
    </row>
    <row r="1401" spans="1:3" x14ac:dyDescent="0.25">
      <c r="A1401" s="14">
        <v>3065486</v>
      </c>
      <c r="B1401" s="11" t="s">
        <v>969</v>
      </c>
      <c r="C1401" s="19">
        <v>3000000</v>
      </c>
    </row>
    <row r="1402" spans="1:3" x14ac:dyDescent="0.25">
      <c r="A1402" s="14">
        <v>3065486</v>
      </c>
      <c r="B1402" s="11" t="s">
        <v>969</v>
      </c>
      <c r="C1402" s="19">
        <v>3000000</v>
      </c>
    </row>
    <row r="1403" spans="1:3" x14ac:dyDescent="0.25">
      <c r="A1403" s="14">
        <v>1013627407</v>
      </c>
      <c r="B1403" s="11" t="s">
        <v>775</v>
      </c>
      <c r="C1403" s="19">
        <v>1000000</v>
      </c>
    </row>
    <row r="1404" spans="1:3" x14ac:dyDescent="0.25">
      <c r="A1404" s="14">
        <v>391</v>
      </c>
      <c r="B1404" s="11" t="s">
        <v>776</v>
      </c>
      <c r="C1404" s="19">
        <v>1000000</v>
      </c>
    </row>
    <row r="1405" spans="1:3" x14ac:dyDescent="0.25">
      <c r="A1405" s="14">
        <v>40326639</v>
      </c>
      <c r="B1405" s="11" t="s">
        <v>1213</v>
      </c>
      <c r="C1405" s="19">
        <v>0</v>
      </c>
    </row>
    <row r="1406" spans="1:3" x14ac:dyDescent="0.25">
      <c r="A1406" s="14">
        <v>1074132066</v>
      </c>
      <c r="B1406" s="11" t="s">
        <v>777</v>
      </c>
      <c r="C1406" s="18">
        <v>1000000</v>
      </c>
    </row>
    <row r="1407" spans="1:3" x14ac:dyDescent="0.25">
      <c r="A1407" s="14">
        <v>1001043295</v>
      </c>
      <c r="B1407" s="11" t="s">
        <v>778</v>
      </c>
      <c r="C1407" s="19">
        <v>1000000</v>
      </c>
    </row>
    <row r="1408" spans="1:3" x14ac:dyDescent="0.25">
      <c r="A1408" s="14">
        <v>1030645948</v>
      </c>
      <c r="B1408" s="11" t="s">
        <v>1214</v>
      </c>
      <c r="C1408" s="19">
        <v>3000000</v>
      </c>
    </row>
    <row r="1409" spans="1:3" x14ac:dyDescent="0.25">
      <c r="A1409" s="14">
        <v>1026302000</v>
      </c>
      <c r="B1409" s="11" t="s">
        <v>779</v>
      </c>
      <c r="C1409" s="19">
        <v>1000000</v>
      </c>
    </row>
    <row r="1410" spans="1:3" x14ac:dyDescent="0.25">
      <c r="A1410" s="14">
        <v>442</v>
      </c>
      <c r="B1410" s="11" t="s">
        <v>780</v>
      </c>
      <c r="C1410" s="19">
        <v>1000000</v>
      </c>
    </row>
    <row r="1411" spans="1:3" x14ac:dyDescent="0.25">
      <c r="A1411" s="14">
        <v>1193057426</v>
      </c>
      <c r="B1411" s="11" t="s">
        <v>1215</v>
      </c>
      <c r="C1411" s="18">
        <v>1000000</v>
      </c>
    </row>
    <row r="1412" spans="1:3" x14ac:dyDescent="0.25">
      <c r="A1412" s="14">
        <v>87218696</v>
      </c>
      <c r="B1412" s="11" t="s">
        <v>1216</v>
      </c>
      <c r="C1412" s="18">
        <v>0</v>
      </c>
    </row>
    <row r="1413" spans="1:3" x14ac:dyDescent="0.25">
      <c r="A1413" s="14">
        <v>40505925</v>
      </c>
      <c r="B1413" s="11" t="s">
        <v>1053</v>
      </c>
      <c r="C1413" s="19">
        <v>1000000</v>
      </c>
    </row>
    <row r="1414" spans="1:3" x14ac:dyDescent="0.25">
      <c r="A1414" s="14">
        <v>795189589</v>
      </c>
      <c r="B1414" s="11" t="s">
        <v>1217</v>
      </c>
      <c r="C1414" s="18">
        <v>0</v>
      </c>
    </row>
    <row r="1415" spans="1:3" x14ac:dyDescent="0.25">
      <c r="A1415" s="14">
        <v>1081730438</v>
      </c>
      <c r="B1415" s="11" t="s">
        <v>781</v>
      </c>
      <c r="C1415" s="18">
        <v>1000000</v>
      </c>
    </row>
    <row r="1416" spans="1:3" x14ac:dyDescent="0.25">
      <c r="A1416" s="14">
        <v>1033684205</v>
      </c>
      <c r="B1416" s="11" t="s">
        <v>1218</v>
      </c>
      <c r="C1416" s="18">
        <v>1000000</v>
      </c>
    </row>
    <row r="1417" spans="1:3" x14ac:dyDescent="0.25">
      <c r="A1417" s="14">
        <v>1032490321</v>
      </c>
      <c r="B1417" s="11" t="s">
        <v>782</v>
      </c>
      <c r="C1417" s="19">
        <v>1000000</v>
      </c>
    </row>
    <row r="1418" spans="1:3" x14ac:dyDescent="0.25">
      <c r="A1418" s="14">
        <v>1014224149</v>
      </c>
      <c r="B1418" s="11" t="s">
        <v>1219</v>
      </c>
      <c r="C1418" s="18">
        <v>1000000</v>
      </c>
    </row>
    <row r="1419" spans="1:3" x14ac:dyDescent="0.25">
      <c r="A1419" s="14">
        <v>1054679542</v>
      </c>
      <c r="B1419" s="11" t="s">
        <v>783</v>
      </c>
      <c r="C1419" s="18">
        <v>1000000</v>
      </c>
    </row>
    <row r="1420" spans="1:3" x14ac:dyDescent="0.25">
      <c r="A1420" s="14">
        <v>1054679542</v>
      </c>
      <c r="B1420" s="11" t="s">
        <v>783</v>
      </c>
      <c r="C1420" s="18">
        <v>1000000</v>
      </c>
    </row>
    <row r="1421" spans="1:3" x14ac:dyDescent="0.25">
      <c r="A1421" s="14">
        <v>901700109</v>
      </c>
      <c r="B1421" s="11" t="s">
        <v>910</v>
      </c>
      <c r="C1421" s="19">
        <v>1000000</v>
      </c>
    </row>
    <row r="1422" spans="1:3" x14ac:dyDescent="0.25">
      <c r="A1422" s="14">
        <v>901554573</v>
      </c>
      <c r="B1422" s="11" t="s">
        <v>911</v>
      </c>
      <c r="C1422" s="19">
        <v>1000000</v>
      </c>
    </row>
    <row r="1423" spans="1:3" x14ac:dyDescent="0.25">
      <c r="A1423" s="14">
        <v>60321586</v>
      </c>
      <c r="B1423" s="11" t="s">
        <v>784</v>
      </c>
      <c r="C1423" s="19">
        <v>1000000</v>
      </c>
    </row>
    <row r="1424" spans="1:3" x14ac:dyDescent="0.25">
      <c r="A1424" s="14">
        <v>1015392892</v>
      </c>
      <c r="B1424" s="11" t="s">
        <v>1077</v>
      </c>
      <c r="C1424" s="19">
        <v>1000000</v>
      </c>
    </row>
    <row r="1425" spans="1:3" x14ac:dyDescent="0.25">
      <c r="A1425" s="16">
        <v>830094751</v>
      </c>
      <c r="B1425" s="12" t="s">
        <v>785</v>
      </c>
      <c r="C1425" s="20">
        <v>50000000</v>
      </c>
    </row>
  </sheetData>
  <autoFilter ref="A1:C1425" xr:uid="{CAA4A206-5869-4B34-8514-07145AF139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DE CLIENTES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Gutierrez</dc:creator>
  <cp:lastModifiedBy>Data Scientist</cp:lastModifiedBy>
  <dcterms:created xsi:type="dcterms:W3CDTF">2025-11-03T03:20:35Z</dcterms:created>
  <dcterms:modified xsi:type="dcterms:W3CDTF">2026-01-22T04:34:07Z</dcterms:modified>
</cp:coreProperties>
</file>